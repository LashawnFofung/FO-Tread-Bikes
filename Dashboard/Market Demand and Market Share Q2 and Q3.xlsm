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pivotTables/pivotTable7.xml" ContentType="application/vnd.openxmlformats-officedocument.spreadsheetml.pivotTable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/>
  <mc:AlternateContent xmlns:mc="http://schemas.openxmlformats.org/markup-compatibility/2006">
    <mc:Choice Requires="x15">
      <x15ac:absPath xmlns:x15ac="http://schemas.microsoft.com/office/spreadsheetml/2010/11/ac" url="/Users/lashawnfofung/Documents/IT Resume &amp; Transcript/Portfolio/Projects/MBA Capstone/Task 1 Business Plan/Data/"/>
    </mc:Choice>
  </mc:AlternateContent>
  <xr:revisionPtr revIDLastSave="0" documentId="8_{1F0F6E04-B71F-6D43-9B74-68CC58251E77}" xr6:coauthVersionLast="47" xr6:coauthVersionMax="47" xr10:uidLastSave="{00000000-0000-0000-0000-000000000000}"/>
  <bookViews>
    <workbookView xWindow="600" yWindow="500" windowWidth="27440" windowHeight="16440" activeTab="8" xr2:uid="{13D7F5BF-9A06-0142-8ADA-3B35E3700566}"/>
  </bookViews>
  <sheets>
    <sheet name="Market Demand" sheetId="1" r:id="rId1"/>
    <sheet name="Total Demand Q2 and Q3" sheetId="3" r:id="rId2"/>
    <sheet name="Market Share (MS)" sheetId="2" r:id="rId3"/>
    <sheet name="MS recreation Q2" sheetId="6" r:id="rId4"/>
    <sheet name="MS Mountain Q2" sheetId="7" r:id="rId5"/>
    <sheet name="MS Speed Q2" sheetId="8" r:id="rId6"/>
    <sheet name="MS Recreation Q3" sheetId="9" r:id="rId7"/>
    <sheet name="MS Mountain Q3" sheetId="10" r:id="rId8"/>
    <sheet name="MS Speed 3" sheetId="11" r:id="rId9"/>
  </sheets>
  <calcPr calcId="181029"/>
  <pivotCaches>
    <pivotCache cacheId="8" r:id="rId10"/>
    <pivotCache cacheId="9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<sst xmlns="http://schemas.openxmlformats.org/spreadsheetml/2006/main" count="90" uniqueCount="29">
  <si>
    <t>Market Demand</t>
  </si>
  <si>
    <t>Company</t>
  </si>
  <si>
    <t>FO Treads Bikes</t>
  </si>
  <si>
    <t>THE GOOD BIKE</t>
  </si>
  <si>
    <t>Thunder Bike</t>
  </si>
  <si>
    <t>BIK3D</t>
  </si>
  <si>
    <t>Back to Bike</t>
  </si>
  <si>
    <t>Total</t>
  </si>
  <si>
    <t>Total Demand Q3</t>
  </si>
  <si>
    <t>Speed Q3</t>
  </si>
  <si>
    <t>Mountain Q3</t>
  </si>
  <si>
    <t>Recreation Q3</t>
  </si>
  <si>
    <t>Recreation Q2</t>
  </si>
  <si>
    <t>Mountain Q2</t>
  </si>
  <si>
    <t>Speed Q2</t>
  </si>
  <si>
    <t>Total Demand Q2</t>
  </si>
  <si>
    <t>Row Labels</t>
  </si>
  <si>
    <t>Grand Total</t>
  </si>
  <si>
    <t>Q3</t>
  </si>
  <si>
    <t>Q2</t>
  </si>
  <si>
    <t>Market Share</t>
  </si>
  <si>
    <t>Market Share Q2</t>
  </si>
  <si>
    <t>Market Share Q3</t>
  </si>
  <si>
    <t xml:space="preserve"> Q2</t>
  </si>
  <si>
    <t>Sum of Mountain Q2</t>
  </si>
  <si>
    <t>Sum of Speed Q2</t>
  </si>
  <si>
    <t>Sum of Recreation Q3</t>
  </si>
  <si>
    <t>Sum of Mountain Q3</t>
  </si>
  <si>
    <t>Sum of Speed 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</si>
</sst>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3"/>
      <color rgb="FF000000"/>
      <name val="Calibri"/>
      <family val="2"/>
    </font>
    <font>
      <b/>
      <sz val="11"/>
      <color rgb="FF000000"/>
      <name val="Calibri"/>
      <family val="2"/>
    </font>
    <font>
      <b/>
      <sz val="13"/>
      <color theme="1"/>
      <name val="Calibri"/>
      <family val="2"/>
    </font>
    <font>
      <sz val="12"/>
      <color theme="1"/>
      <name val="Aptos Narrow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1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3" fontId="2" fillId="0" borderId="0" xfId="0" applyNumberFormat="1" applyFont="1" applyAlignment="1">
      <alignment horizontal="right" vertical="center"/>
    </xf>
    <xf numFmtId="3" fontId="2" fillId="0" borderId="0" xfId="0" applyNumberFormat="1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1" fontId="0" fillId="0" borderId="0" xfId="0" applyNumberFormat="1"/>
    <xf numFmtId="0" fontId="5" fillId="0" borderId="0" xfId="0" applyFont="1"/>
  </cellXfs>
  <cellStyles count="1">
    <cellStyle name="Normal" xfId="0" builtinId="0"/>
  </cellStyles>
  <dxfs count="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Q3.xlsm]Total Demand Q2 and Q3!PivotTable3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Comparison of Total</a:t>
            </a:r>
            <a:r>
              <a:rPr lang="en-US" sz="18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en-US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Demand Q2 &amp; 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475120171179526"/>
          <c:y val="9.6840176857087498E-2"/>
          <c:w val="0.80928188248986199"/>
          <c:h val="0.72133646884743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'Total Demand Q2 and Q3'!$B$3</c:f>
              <c:strCache>
                <c:ptCount val="1"/>
                <c:pt idx="0">
                  <c:v>Q2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'Total Demand Q2 and Q3'!$A$4:$A$9</c:f>
              <c:strCache>
                <c:ptCount val="5"/>
                <c:pt idx="0">
                  <c:v>Back to Bike</c:v>
                </c:pt>
                <c:pt idx="1">
                  <c:v>BIK3D</c:v>
                </c:pt>
                <c:pt idx="2">
                  <c:v>FO Treads Bikes</c:v>
                </c:pt>
                <c:pt idx="3">
                  <c:v>THE GOOD BIKE</c:v>
                </c:pt>
                <c:pt idx="4">
                  <c:v>Thunder Bike</c:v>
                </c:pt>
              </c:strCache>
            </c:strRef>
          </c:cat>
          <c:val>
            <c:numRef>
              <c:f>'Total Demand Q2 and Q3'!$B$4:$B$9</c:f>
              <c:numCache>
                <c:formatCode>General</c:formatCode>
                <c:ptCount val="5"/>
                <c:pt idx="0">
                  <c:v>231</c:v>
                </c:pt>
                <c:pt idx="1">
                  <c:v>269</c:v>
                </c:pt>
                <c:pt idx="2">
                  <c:v>570</c:v>
                </c:pt>
                <c:pt idx="3">
                  <c:v>31</c:v>
                </c:pt>
                <c:pt idx="4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8-C242-9794-E6C5D6325E83}"/>
            </c:ext>
          </c:extLst>
        </c:ser>
        <c:ser>
          <c:idx val="1"/>
          <c:order val="1"/>
          <c:tx>
            <c:strRef>
              <c:f>'Total Demand Q2 and Q3'!$C$3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'Total Demand Q2 and Q3'!$A$4:$A$9</c:f>
              <c:strCache>
                <c:ptCount val="5"/>
                <c:pt idx="0">
                  <c:v>Back to Bike</c:v>
                </c:pt>
                <c:pt idx="1">
                  <c:v>BIK3D</c:v>
                </c:pt>
                <c:pt idx="2">
                  <c:v>FO Treads Bikes</c:v>
                </c:pt>
                <c:pt idx="3">
                  <c:v>THE GOOD BIKE</c:v>
                </c:pt>
                <c:pt idx="4">
                  <c:v>Thunder Bike</c:v>
                </c:pt>
              </c:strCache>
            </c:strRef>
          </c:cat>
          <c:val>
            <c:numRef>
              <c:f>'Total Demand Q2 and Q3'!$C$4:$C$9</c:f>
              <c:numCache>
                <c:formatCode>General</c:formatCode>
                <c:ptCount val="5"/>
                <c:pt idx="0">
                  <c:v>995</c:v>
                </c:pt>
                <c:pt idx="1">
                  <c:v>841</c:v>
                </c:pt>
                <c:pt idx="2">
                  <c:v>659</c:v>
                </c:pt>
                <c:pt idx="3">
                  <c:v>258</c:v>
                </c:pt>
                <c:pt idx="4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8-C242-9794-E6C5D632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100880"/>
        <c:axId val="1209821056"/>
      </c:barChart>
      <c:catAx>
        <c:axId val="83110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sz="140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rPr>
                  <a:t>Company</a:t>
                </a:r>
              </a:p>
            </c:rich>
          </c:tx>
          <c:layout>
            <c:manualLayout>
              <c:xMode val="edge"/>
              <c:yMode val="edge"/>
              <c:x val="0.46818740036248357"/>
              <c:y val="0.914798569641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209821056"/>
        <c:crosses val="autoZero"/>
        <c:auto val="1"/>
        <c:lblAlgn val="ctr"/>
        <c:lblOffset val="100"/>
        <c:noMultiLvlLbl val="0"/>
      </c:catAx>
      <c:valAx>
        <c:axId val="12098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sz="140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rPr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83110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recreation Q2!PivotTable3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RECREATION BIKE DEMAND Q2</a:t>
            </a:r>
          </a:p>
        </c:rich>
      </c:tx>
      <c:layout>
        <c:manualLayout>
          <c:xMode val="edge"/>
          <c:yMode val="edge"/>
          <c:x val="0.34457908977594015"/>
          <c:y val="1.3904982618771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FEF8E004-18E0-CF47-8561-518B6442D39B}" type="CATEGORYNAME">
                  <a:rPr lang="en-US" b="1">
                    <a:solidFill>
                      <a:schemeClr val="tx2"/>
                    </a:solidFill>
                  </a:rPr>
                  <a:pPr>
                    <a:defRPr sz="1200" b="1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endParaRPr lang="en-US" b="1" baseline="0">
                  <a:solidFill>
                    <a:schemeClr val="tx2"/>
                  </a:solidFill>
                </a:endParaRPr>
              </a:p>
              <a:p>
                <a:pPr>
                  <a:defRPr sz="12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fld id="{015731E5-866E-4240-8966-52F3F7D4FE41}" type="PERCENTAGE">
                  <a:rPr lang="en-US" b="1">
                    <a:solidFill>
                      <a:schemeClr val="tx2"/>
                    </a:solidFill>
                  </a:rPr>
                  <a:pPr>
                    <a:defRPr sz="1200" b="1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635661082905178"/>
          <c:y val="0.16685614182352349"/>
          <c:w val="0.4995647706198888"/>
          <c:h val="0.7496365909070174"/>
        </c:manualLayout>
      </c:layout>
      <c:pieChart>
        <c:varyColors val="1"/>
        <c:ser>
          <c:idx val="0"/>
          <c:order val="0"/>
          <c:tx>
            <c:strRef>
              <c:f>'MS recreation Q2'!$B$3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9FB-7248-A8A8-D3BAD50350BB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99-0D40-B201-5416698EF63D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99-0D40-B201-5416698EF63D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99-0D40-B201-5416698EF63D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99-0D40-B201-5416698EF63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EF8E004-18E0-CF47-8561-518B6442D39B}" type="CATEGORYNAME">
                      <a:rPr lang="en-US" b="1">
                        <a:solidFill>
                          <a:schemeClr val="tx2"/>
                        </a:solidFill>
                      </a:rPr>
                      <a:pPr/>
                      <a:t>[CATEGORY NAME]</a:t>
                    </a:fld>
                    <a:endParaRPr lang="en-US" b="1" baseline="0">
                      <a:solidFill>
                        <a:schemeClr val="tx2"/>
                      </a:solidFill>
                    </a:endParaRPr>
                  </a:p>
                  <a:p>
                    <a:fld id="{015731E5-866E-4240-8966-52F3F7D4FE41}" type="PERCENTAGE">
                      <a:rPr lang="en-US" b="1">
                        <a:solidFill>
                          <a:schemeClr val="tx2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9FB-7248-A8A8-D3BAD50350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recreation Q2'!$A$4:$A$9</c:f>
              <c:strCache>
                <c:ptCount val="5"/>
                <c:pt idx="0">
                  <c:v>FO Treads Bikes</c:v>
                </c:pt>
                <c:pt idx="1">
                  <c:v>Thunder Bike</c:v>
                </c:pt>
                <c:pt idx="2">
                  <c:v>BIK3D</c:v>
                </c:pt>
                <c:pt idx="3">
                  <c:v>Back to Bike</c:v>
                </c:pt>
                <c:pt idx="4">
                  <c:v>THE GOOD BIKE</c:v>
                </c:pt>
              </c:strCache>
            </c:strRef>
          </c:cat>
          <c:val>
            <c:numRef>
              <c:f>'MS recreation Q2'!$B$4:$B$9</c:f>
              <c:numCache>
                <c:formatCode>0</c:formatCode>
                <c:ptCount val="5"/>
                <c:pt idx="0">
                  <c:v>30.55</c:v>
                </c:pt>
                <c:pt idx="1">
                  <c:v>27.53</c:v>
                </c:pt>
                <c:pt idx="2">
                  <c:v>21.51</c:v>
                </c:pt>
                <c:pt idx="3">
                  <c:v>20.27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B-7248-A8A8-D3BAD50350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Mountain Q2!PivotTable4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MOUNTAIN</a:t>
            </a:r>
            <a:r>
              <a:rPr lang="en-US" sz="1800" b="1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BIKE DEMAND Q2</a:t>
            </a:r>
            <a:endParaRPr lang="en-US" sz="1800" b="1" cap="none" spc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layout>
        <c:manualLayout>
          <c:xMode val="edge"/>
          <c:yMode val="edge"/>
          <c:x val="0.38534692415568333"/>
          <c:y val="1.6203703703703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4063222821896567E-2"/>
              <c:y val="6.944444444444444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26599845797996"/>
              <c:y val="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D445F767-3EEB-8049-AC9F-D49B74F7498A}" type="CATEGORYNAM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r>
                  <a:rPr lang="en-US" b="1" baseline="0">
                    <a:solidFill>
                      <a:schemeClr val="tx2"/>
                    </a:solidFill>
                  </a:rPr>
                  <a:t>
</a:t>
                </a:r>
                <a:fld id="{C0B5FF2B-BE2C-DC4A-8C1E-3A2D576CF3DD}" type="PERCENTAGE">
                  <a:rPr lang="en-US" b="1" baseline="0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 b="1" baseline="0">
                  <a:solidFill>
                    <a:schemeClr val="tx2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795245235825861"/>
          <c:y val="0.16905019685039369"/>
          <c:w val="0.49792701509844045"/>
          <c:h val="0.74746682706328382"/>
        </c:manualLayout>
      </c:layout>
      <c:pieChart>
        <c:varyColors val="1"/>
        <c:ser>
          <c:idx val="0"/>
          <c:order val="0"/>
          <c:tx>
            <c:strRef>
              <c:f>'MS Mountain Q2'!$B$3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A4E-614D-934A-6CED5ED1888E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47-9243-B57B-EC27EFE46527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47-9243-B57B-EC27EFE46527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4E-614D-934A-6CED5ED1888E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4E-614D-934A-6CED5ED1888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445F767-3EEB-8049-AC9F-D49B74F7498A}" type="CATEGORYNAME">
                      <a:rPr lang="en-US" b="1">
                        <a:solidFill>
                          <a:schemeClr val="tx2"/>
                        </a:solidFill>
                      </a:rPr>
                      <a:pPr/>
                      <a:t>[CATEGORY NAME]</a:t>
                    </a:fld>
                    <a:r>
                      <a:rPr lang="en-US" b="1" baseline="0">
                        <a:solidFill>
                          <a:schemeClr val="tx2"/>
                        </a:solidFill>
                      </a:rPr>
                      <a:t>
</a:t>
                    </a:r>
                    <a:fld id="{C0B5FF2B-BE2C-DC4A-8C1E-3A2D576CF3DD}" type="PERCENTAGE">
                      <a:rPr lang="en-US" b="1" baseline="0">
                        <a:solidFill>
                          <a:schemeClr val="tx2"/>
                        </a:solidFill>
                      </a:rPr>
                      <a:pPr/>
                      <a:t>[PERCENTAGE]</a:t>
                    </a:fld>
                    <a:endParaRPr lang="en-US" b="1" baseline="0">
                      <a:solidFill>
                        <a:schemeClr val="tx2"/>
                      </a:solidFill>
                    </a:endParaRPr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A4E-614D-934A-6CED5ED1888E}"/>
                </c:ext>
              </c:extLst>
            </c:dLbl>
            <c:dLbl>
              <c:idx val="3"/>
              <c:layout>
                <c:manualLayout>
                  <c:x val="-0.1526599845797996"/>
                  <c:y val="2.7777777777777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4E-614D-934A-6CED5ED1888E}"/>
                </c:ext>
              </c:extLst>
            </c:dLbl>
            <c:dLbl>
              <c:idx val="4"/>
              <c:layout>
                <c:manualLayout>
                  <c:x val="9.4063222821896567E-2"/>
                  <c:y val="6.9444444444444441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4E-614D-934A-6CED5ED18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Mountain Q2'!$A$4:$A$9</c:f>
              <c:strCache>
                <c:ptCount val="5"/>
                <c:pt idx="0">
                  <c:v>FO Treads Bikes</c:v>
                </c:pt>
                <c:pt idx="1">
                  <c:v>BIK3D</c:v>
                </c:pt>
                <c:pt idx="2">
                  <c:v>THE GOOD BIKE</c:v>
                </c:pt>
                <c:pt idx="3">
                  <c:v>Thunder Bike</c:v>
                </c:pt>
                <c:pt idx="4">
                  <c:v>Back to Bike</c:v>
                </c:pt>
              </c:strCache>
            </c:strRef>
          </c:cat>
          <c:val>
            <c:numRef>
              <c:f>'MS Mountain Q2'!$B$4:$B$9</c:f>
              <c:numCache>
                <c:formatCode>General</c:formatCode>
                <c:ptCount val="5"/>
                <c:pt idx="0">
                  <c:v>58.25</c:v>
                </c:pt>
                <c:pt idx="1">
                  <c:v>39.299999999999997</c:v>
                </c:pt>
                <c:pt idx="2">
                  <c:v>2.46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E-614D-934A-6CED5ED1888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Speed Q2!PivotTable5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SPEED BIKE</a:t>
            </a:r>
            <a:r>
              <a:rPr lang="en-US" sz="1800" b="1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DEMAND Q2</a:t>
            </a: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46DB8AD2-80B9-0C43-A2CC-99BE5C82D5DC}" type="CATEGORYNAM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endParaRPr lang="en-US" b="1" baseline="0">
                  <a:solidFill>
                    <a:schemeClr val="tx2"/>
                  </a:solidFill>
                </a:endParaRPr>
              </a:p>
              <a:p>
                <a:pPr>
                  <a:defRPr sz="120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fld id="{F0AA0D64-3092-D347-93FC-215529725027}" type="PERCENTAGE">
                  <a:rPr lang="en-US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15200308166409862"/>
                  <c:h val="0.10471676300578035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1571648690292787E-2"/>
              <c:y val="-2.080924855491329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627555415357363"/>
          <c:y val="0.15738801146966452"/>
          <c:w val="0.50590818096890433"/>
          <c:h val="0.75915470392790507"/>
        </c:manualLayout>
      </c:layout>
      <c:pieChart>
        <c:varyColors val="1"/>
        <c:ser>
          <c:idx val="0"/>
          <c:order val="0"/>
          <c:tx>
            <c:strRef>
              <c:f>'MS Speed Q2'!$B$3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9C2-0848-98DA-90408D7AB64D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C2-0848-98DA-90408D7AB64D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CD-3D49-B176-808ECE1BEAB3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CD-3D49-B176-808ECE1BEAB3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CD-3D49-B176-808ECE1BEAB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cap="none" spc="0" baseline="0">
                        <a:ln w="0"/>
                        <a:solidFill>
                          <a:schemeClr val="tx1"/>
                        </a:solidFill>
                        <a:effectLst>
                          <a:outerShdw blurRad="38100" dist="19050" dir="2700000" algn="tl" rotWithShape="0">
                            <a:schemeClr val="dk1">
                              <a:alpha val="40000"/>
                            </a:schemeClr>
                          </a:outerShdw>
                        </a:effectLst>
                        <a:latin typeface="Calibri" panose="020F0502020204030204" pitchFamily="34" charset="0"/>
                        <a:ea typeface="+mn-ea"/>
                        <a:cs typeface="Calibri" panose="020F0502020204030204" pitchFamily="34" charset="0"/>
                      </a:defRPr>
                    </a:pPr>
                    <a:fld id="{46DB8AD2-80B9-0C43-A2CC-99BE5C82D5DC}" type="CATEGORYNAME">
                      <a:rPr lang="en-US" b="1">
                        <a:solidFill>
                          <a:schemeClr val="tx2"/>
                        </a:solidFill>
                      </a:rPr>
                      <a:pPr>
                        <a:defRPr sz="1200" cap="none" spc="0">
                          <a:ln w="0"/>
                          <a:solidFill>
                            <a:schemeClr val="tx1"/>
                          </a:solidFill>
                          <a:effectLst>
                            <a:outerShdw blurRad="38100" dist="19050" dir="2700000" algn="tl" rotWithShape="0">
                              <a:schemeClr val="dk1">
                                <a:alpha val="40000"/>
                              </a:schemeClr>
                            </a:outerShdw>
                          </a:effectLst>
                          <a:latin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[CATEGORY NAME]</a:t>
                    </a:fld>
                    <a:endParaRPr lang="en-US" b="1" baseline="0">
                      <a:solidFill>
                        <a:schemeClr val="tx2"/>
                      </a:solidFill>
                    </a:endParaRPr>
                  </a:p>
                  <a:p>
                    <a:pPr>
                      <a:defRPr sz="1200" cap="none" spc="0">
                        <a:ln w="0"/>
                        <a:solidFill>
                          <a:schemeClr val="tx1"/>
                        </a:solidFill>
                        <a:effectLst>
                          <a:outerShdw blurRad="38100" dist="19050" dir="2700000" algn="tl" rotWithShape="0">
                            <a:schemeClr val="dk1">
                              <a:alpha val="40000"/>
                            </a:schemeClr>
                          </a:outerShdw>
                        </a:effectLst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F0AA0D64-3092-D347-93FC-215529725027}" type="PERCENTAGE">
                      <a:rPr lang="en-US">
                        <a:solidFill>
                          <a:schemeClr val="tx2"/>
                        </a:solidFill>
                      </a:rPr>
                      <a:pPr>
                        <a:defRPr sz="1200" cap="none" spc="0">
                          <a:ln w="0"/>
                          <a:solidFill>
                            <a:schemeClr val="tx1"/>
                          </a:solidFill>
                          <a:effectLst>
                            <a:outerShdw blurRad="38100" dist="19050" dir="2700000" algn="tl" rotWithShape="0">
                              <a:schemeClr val="dk1">
                                <a:alpha val="40000"/>
                              </a:schemeClr>
                            </a:outerShdw>
                          </a:effectLst>
                          <a:latin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cap="none" spc="0" baseline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ea typeface="+mn-ea"/>
                      <a:cs typeface="Calibri" panose="020F0502020204030204" pitchFamily="34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5200308166409862"/>
                      <c:h val="0.1047167630057803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9C2-0848-98DA-90408D7AB64D}"/>
                </c:ext>
              </c:extLst>
            </c:dLbl>
            <c:dLbl>
              <c:idx val="1"/>
              <c:layout>
                <c:manualLayout>
                  <c:x val="-2.1571648690292787E-2"/>
                  <c:y val="-2.08092485549132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C2-0848-98DA-90408D7AB6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Speed Q2'!$A$4:$A$9</c:f>
              <c:strCache>
                <c:ptCount val="5"/>
                <c:pt idx="0">
                  <c:v>FO Treads Bikes</c:v>
                </c:pt>
                <c:pt idx="1">
                  <c:v>Back to Bike</c:v>
                </c:pt>
                <c:pt idx="2">
                  <c:v>Thunder Bike</c:v>
                </c:pt>
                <c:pt idx="3">
                  <c:v>THE GOOD BIKE</c:v>
                </c:pt>
                <c:pt idx="4">
                  <c:v>BIK3D</c:v>
                </c:pt>
              </c:strCache>
            </c:strRef>
          </c:cat>
          <c:val>
            <c:numRef>
              <c:f>'MS Speed Q2'!$B$4:$B$9</c:f>
              <c:numCache>
                <c:formatCode>0</c:formatCode>
                <c:ptCount val="5"/>
                <c:pt idx="0">
                  <c:v>50.14</c:v>
                </c:pt>
                <c:pt idx="1">
                  <c:v>22.99</c:v>
                </c:pt>
                <c:pt idx="2">
                  <c:v>20.5</c:v>
                </c:pt>
                <c:pt idx="3">
                  <c:v>6.37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C2-0848-98DA-90408D7AB6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Recreation Q3!PivotTable1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RECREATION</a:t>
            </a:r>
            <a:r>
              <a:rPr lang="en-US" sz="1800" b="1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BIKE DEMAND Q3</a:t>
            </a:r>
            <a:endParaRPr lang="en-US" sz="1800" b="1" cap="none" spc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0F037B46-9FDE-C547-A309-2766F2797F76}" type="CATEGORYNAME">
                  <a:rPr lang="en-US">
                    <a:solidFill>
                      <a:schemeClr val="tx2"/>
                    </a:solidFill>
                  </a:rPr>
                  <a:pPr>
                    <a:defRPr sz="1200" b="1">
                      <a:solidFill>
                        <a:schemeClr val="tx1"/>
                      </a:solidFill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endParaRPr lang="en-US" baseline="0">
                  <a:solidFill>
                    <a:schemeClr val="tx2"/>
                  </a:solidFill>
                </a:endParaRPr>
              </a:p>
              <a:p>
                <a:pPr>
                  <a:defRPr sz="1200" b="1">
                    <a:solidFill>
                      <a:schemeClr val="tx1"/>
                    </a:solidFill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fld id="{2B609031-5224-8C47-B361-7DA1C3B584E6}" type="PERCENTAGE">
                  <a:rPr lang="en-US">
                    <a:solidFill>
                      <a:schemeClr val="tx2"/>
                    </a:solidFill>
                  </a:rPr>
                  <a:pPr>
                    <a:defRPr sz="1200" b="1">
                      <a:solidFill>
                        <a:schemeClr val="tx1"/>
                      </a:solidFill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189376751634858"/>
          <c:y val="0.1605388050867218"/>
          <c:w val="0.51159009014474111"/>
          <c:h val="0.75631427905224835"/>
        </c:manualLayout>
      </c:layout>
      <c:pieChart>
        <c:varyColors val="1"/>
        <c:ser>
          <c:idx val="0"/>
          <c:order val="0"/>
          <c:tx>
            <c:strRef>
              <c:f>'MS Recreation Q3'!$B$3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4C-7E42-AB35-82677C8DE35F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4C-7E42-AB35-82677C8DE35F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4C-7E42-AB35-82677C8DE35F}"/>
              </c:ext>
            </c:extLst>
          </c:dPt>
          <c:dPt>
            <c:idx val="3"/>
            <c:bubble3D val="0"/>
            <c:spPr>
              <a:solidFill>
                <a:schemeClr val="tx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59D-644D-9201-7C956BC53155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4C-7E42-AB35-82677C8DE35F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fld id="{0F037B46-9FDE-C547-A309-2766F2797F76}" type="CATEGORYNAME">
                      <a:rPr lang="en-US">
                        <a:solidFill>
                          <a:schemeClr val="tx2"/>
                        </a:solidFill>
                      </a:rPr>
                      <a:pPr/>
                      <a:t>[CATEGORY NAME]</a:t>
                    </a:fld>
                    <a:endParaRPr lang="en-US" baseline="0">
                      <a:solidFill>
                        <a:schemeClr val="tx2"/>
                      </a:solidFill>
                    </a:endParaRPr>
                  </a:p>
                  <a:p>
                    <a:fld id="{2B609031-5224-8C47-B361-7DA1C3B584E6}" type="PERCENTAGE">
                      <a:rPr lang="en-US">
                        <a:solidFill>
                          <a:schemeClr val="tx2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59D-644D-9201-7C956BC53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Recreation Q3'!$A$4:$A$9</c:f>
              <c:strCache>
                <c:ptCount val="5"/>
                <c:pt idx="0">
                  <c:v>Back to Bike</c:v>
                </c:pt>
                <c:pt idx="1">
                  <c:v>Thunder Bike</c:v>
                </c:pt>
                <c:pt idx="2">
                  <c:v>BIK3D</c:v>
                </c:pt>
                <c:pt idx="3">
                  <c:v>FO Treads Bikes</c:v>
                </c:pt>
                <c:pt idx="4">
                  <c:v>THE GOOD BIKE</c:v>
                </c:pt>
              </c:strCache>
            </c:strRef>
          </c:cat>
          <c:val>
            <c:numRef>
              <c:f>'MS Recreation Q3'!$B$4:$B$9</c:f>
              <c:numCache>
                <c:formatCode>0</c:formatCode>
                <c:ptCount val="5"/>
                <c:pt idx="0">
                  <c:v>29.77</c:v>
                </c:pt>
                <c:pt idx="1">
                  <c:v>27.34</c:v>
                </c:pt>
                <c:pt idx="2">
                  <c:v>26.34</c:v>
                </c:pt>
                <c:pt idx="3">
                  <c:v>15.76</c:v>
                </c:pt>
                <c:pt idx="4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D-644D-9201-7C956BC531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Mountain Q3!PivotTable2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2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>
                <a:solidFill>
                  <a:schemeClr val="tx2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MOUNTAIN BIKE DEMAND</a:t>
            </a:r>
            <a:r>
              <a:rPr lang="en-US" sz="1800" b="1" baseline="0">
                <a:solidFill>
                  <a:schemeClr val="tx2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Q3</a:t>
            </a:r>
            <a:endParaRPr lang="en-US" sz="1800" b="1">
              <a:solidFill>
                <a:schemeClr val="tx2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2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9368258859784278E-2"/>
              <c:y val="1.15606936416184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0030816640986132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F04E39BD-4B88-CD43-9A16-8256EC817542}" type="CATEGORYNAM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endParaRPr lang="en-US" b="1" baseline="0">
                  <a:solidFill>
                    <a:schemeClr val="tx2"/>
                  </a:solidFill>
                </a:endParaRPr>
              </a:p>
              <a:p>
                <a:pPr>
                  <a:defRPr sz="120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fld id="{60C28328-59F3-F14C-B095-027D27337349}" type="PERCENTAG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298241995559491"/>
          <c:y val="0.15604751718173956"/>
          <c:w val="0.50633112116763523"/>
          <c:h val="0.75978935870010467"/>
        </c:manualLayout>
      </c:layout>
      <c:pieChart>
        <c:varyColors val="1"/>
        <c:ser>
          <c:idx val="0"/>
          <c:order val="0"/>
          <c:tx>
            <c:strRef>
              <c:f>'MS Mountain Q3'!$B$3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38-844A-BEE2-9EC46CCBFBC1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E90-174D-A0DF-7CD374A8ED4A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38-844A-BEE2-9EC46CCBFBC1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90-174D-A0DF-7CD374A8ED4A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E90-174D-A0DF-7CD374A8ED4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fld id="{F04E39BD-4B88-CD43-9A16-8256EC817542}" type="CATEGORYNAME">
                      <a:rPr lang="en-US" b="1">
                        <a:solidFill>
                          <a:schemeClr val="tx2"/>
                        </a:solidFill>
                      </a:rPr>
                      <a:pPr/>
                      <a:t>[CATEGORY NAME]</a:t>
                    </a:fld>
                    <a:endParaRPr lang="en-US" b="1" baseline="0">
                      <a:solidFill>
                        <a:schemeClr val="tx2"/>
                      </a:solidFill>
                    </a:endParaRPr>
                  </a:p>
                  <a:p>
                    <a:fld id="{60C28328-59F3-F14C-B095-027D27337349}" type="PERCENTAGE">
                      <a:rPr lang="en-US" b="1">
                        <a:solidFill>
                          <a:schemeClr val="tx2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E90-174D-A0DF-7CD374A8ED4A}"/>
                </c:ext>
              </c:extLst>
            </c:dLbl>
            <c:dLbl>
              <c:idx val="3"/>
              <c:layout>
                <c:manualLayout>
                  <c:x val="-2.0030816640986132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90-174D-A0DF-7CD374A8ED4A}"/>
                </c:ext>
              </c:extLst>
            </c:dLbl>
            <c:dLbl>
              <c:idx val="4"/>
              <c:layout>
                <c:manualLayout>
                  <c:x val="8.9368258859784278E-2"/>
                  <c:y val="1.15606936416184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90-174D-A0DF-7CD374A8E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Mountain Q3'!$A$4:$A$9</c:f>
              <c:strCache>
                <c:ptCount val="5"/>
                <c:pt idx="0">
                  <c:v>BIK3D</c:v>
                </c:pt>
                <c:pt idx="1">
                  <c:v>FO Treads Bikes</c:v>
                </c:pt>
                <c:pt idx="2">
                  <c:v>THE GOOD BIKE</c:v>
                </c:pt>
                <c:pt idx="3">
                  <c:v>Thunder Bike</c:v>
                </c:pt>
                <c:pt idx="4">
                  <c:v>Back to Bike</c:v>
                </c:pt>
              </c:strCache>
            </c:strRef>
          </c:cat>
          <c:val>
            <c:numRef>
              <c:f>'MS Mountain Q3'!$B$4:$B$9</c:f>
              <c:numCache>
                <c:formatCode>0</c:formatCode>
                <c:ptCount val="5"/>
                <c:pt idx="0">
                  <c:v>56.86</c:v>
                </c:pt>
                <c:pt idx="1">
                  <c:v>27.42</c:v>
                </c:pt>
                <c:pt idx="2">
                  <c:v>15.72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0-174D-A0DF-7CD374A8ED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[Market Share Q2 and Q3.xlsm]MS Speed 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800" b="1" cap="none" spc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SPEED BIKE</a:t>
            </a:r>
            <a:r>
              <a:rPr lang="en-US" sz="1800" b="1" cap="none" spc="0" baseline="0">
                <a:ln w="0"/>
                <a:solidFill>
                  <a:schemeClr val="tx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 panose="020F0502020204030204" pitchFamily="34" charset="0"/>
                <a:cs typeface="Calibri" panose="020F0502020204030204" pitchFamily="34" charset="0"/>
              </a:rPr>
              <a:t> DEMAND Q3</a:t>
            </a:r>
            <a:endParaRPr lang="en-US" sz="1800" b="1" cap="none" spc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fld id="{FC64E843-E0D4-F347-9D67-331B71C54FA3}" type="CATEGORYNAM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[CATEGORY NAME]</a:t>
                </a:fld>
                <a:endParaRPr lang="en-US" b="1" baseline="0">
                  <a:solidFill>
                    <a:schemeClr val="tx2"/>
                  </a:solidFill>
                </a:endParaRPr>
              </a:p>
              <a:p>
                <a:pPr>
                  <a:defRPr sz="120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fld id="{E689D968-25B1-6043-BFD5-7AE71830F5E0}" type="PERCENTAGE">
                  <a:rPr lang="en-US" b="1">
                    <a:solidFill>
                      <a:schemeClr val="tx2"/>
                    </a:solidFill>
                  </a:rPr>
                  <a:pPr>
                    <a:defRPr sz="1200" cap="none" spc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shade val="5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554644211140275"/>
          <c:y val="0.16189740139295522"/>
          <c:w val="0.50427760766015362"/>
          <c:h val="0.75466949137131534"/>
        </c:manualLayout>
      </c:layout>
      <c:pieChart>
        <c:varyColors val="1"/>
        <c:ser>
          <c:idx val="0"/>
          <c:order val="0"/>
          <c:tx>
            <c:strRef>
              <c:f>'MS Speed 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DB4B-A05A-3F6625E8116E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DB4B-A05A-3F6625E8116E}"/>
              </c:ext>
            </c:extLst>
          </c:dPt>
          <c:dPt>
            <c:idx val="2"/>
            <c:bubble3D val="0"/>
            <c:spPr>
              <a:solidFill>
                <a:schemeClr val="tx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E68-0E4F-9E0B-C79886A2C0C5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DB4B-A05A-3F6625E8116E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5F-DB4B-A05A-3F6625E8116E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fld id="{FC64E843-E0D4-F347-9D67-331B71C54FA3}" type="CATEGORYNAME">
                      <a:rPr lang="en-US" b="1">
                        <a:solidFill>
                          <a:schemeClr val="tx2"/>
                        </a:solidFill>
                      </a:rPr>
                      <a:pPr/>
                      <a:t>[CATEGORY NAME]</a:t>
                    </a:fld>
                    <a:endParaRPr lang="en-US" b="1" baseline="0">
                      <a:solidFill>
                        <a:schemeClr val="tx2"/>
                      </a:solidFill>
                    </a:endParaRPr>
                  </a:p>
                  <a:p>
                    <a:fld id="{E689D968-25B1-6043-BFD5-7AE71830F5E0}" type="PERCENTAGE">
                      <a:rPr lang="en-US" b="1">
                        <a:solidFill>
                          <a:schemeClr val="tx2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E68-0E4F-9E0B-C79886A2C0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'MS Speed 3'!$A$4:$A$9</c:f>
              <c:strCache>
                <c:ptCount val="5"/>
                <c:pt idx="0">
                  <c:v>Back to Bike</c:v>
                </c:pt>
                <c:pt idx="1">
                  <c:v>Thunder Bike</c:v>
                </c:pt>
                <c:pt idx="2">
                  <c:v>FO Treads Bikes</c:v>
                </c:pt>
                <c:pt idx="3">
                  <c:v>THE GOOD BIKE</c:v>
                </c:pt>
                <c:pt idx="4">
                  <c:v>BIK3D</c:v>
                </c:pt>
              </c:strCache>
            </c:strRef>
          </c:cat>
          <c:val>
            <c:numRef>
              <c:f>'MS Speed 3'!$B$4:$B$9</c:f>
              <c:numCache>
                <c:formatCode>0</c:formatCode>
                <c:ptCount val="5"/>
                <c:pt idx="0">
                  <c:v>35.14</c:v>
                </c:pt>
                <c:pt idx="1">
                  <c:v>33.979999999999997</c:v>
                </c:pt>
                <c:pt idx="2">
                  <c:v>17.04</c:v>
                </c:pt>
                <c:pt idx="3">
                  <c:v>13.84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68-0E4F-9E0B-C79886A2C0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7</xdr:row>
      <xdr:rowOff>165100</xdr:rowOff>
    </xdr:from>
    <xdr:to>
      <xdr:col>16</xdr:col>
      <xdr:colOff>698500</xdr:colOff>
      <xdr:row>35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2E255E-1EEB-24D8-F397-E7E125CB1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488950</xdr:colOff>
      <xdr:row>2</xdr:row>
      <xdr:rowOff>171450</xdr:rowOff>
    </xdr:from>
    <xdr:to>
      <xdr:col>13</xdr:col>
      <xdr:colOff>457200</xdr:colOff>
      <xdr:row>29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DF3493-10EE-42C5-E40C-BAD8A8B19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0.29884</cdr:x>
      <cdr:y>0.23291</cdr:y>
    </cdr:from>
    <cdr:to>
      <cdr:x>0.37606</cdr:x>
      <cdr:y>0.2978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6DA3BD3-F759-BDA0-FB3F-0EF3BF6F05D0}"/>
            </a:ext>
          </a:extLst>
        </cdr:cNvPr>
        <cdr:cNvCxnSpPr/>
      </cdr:nvCxnSpPr>
      <cdr:spPr>
        <a:xfrm xmlns:a="http://schemas.openxmlformats.org/drawingml/2006/main">
          <a:off x="2457450" y="1276350"/>
          <a:ext cx="635000" cy="3556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0.67568</cdr:x>
      <cdr:y>0.33024</cdr:y>
    </cdr:from>
    <cdr:to>
      <cdr:x>0.75598</cdr:x>
      <cdr:y>0.42294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E816A1BD-391F-F628-8B4B-8FA615D5001E}"/>
            </a:ext>
          </a:extLst>
        </cdr:cNvPr>
        <cdr:cNvCxnSpPr/>
      </cdr:nvCxnSpPr>
      <cdr:spPr>
        <a:xfrm xmlns:a="http://schemas.openxmlformats.org/drawingml/2006/main" flipV="1">
          <a:off x="5556250" y="1809750"/>
          <a:ext cx="660400" cy="5080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0.24942</cdr:x>
      <cdr:y>0.67323</cdr:y>
    </cdr:from>
    <cdr:to>
      <cdr:x>0.29884</cdr:x>
      <cdr:y>0.71958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1B3FD8DA-4F01-C3E4-5D9E-1326386422E4}"/>
            </a:ext>
          </a:extLst>
        </cdr:cNvPr>
        <cdr:cNvCxnSpPr/>
      </cdr:nvCxnSpPr>
      <cdr:spPr>
        <a:xfrm xmlns:a="http://schemas.openxmlformats.org/drawingml/2006/main" flipV="1">
          <a:off x="2051050" y="3689350"/>
          <a:ext cx="406400" cy="2540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</cdr:x>
      <cdr:y>0.83082</cdr:y>
    </cdr:from>
    <cdr:to>
      <cdr:x>0.6278</cdr:x>
      <cdr:y>0.89803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1B3FD8DA-4F01-C3E4-5D9E-1326386422E4}"/>
            </a:ext>
          </a:extLst>
        </cdr:cNvPr>
        <cdr:cNvCxnSpPr/>
      </cdr:nvCxnSpPr>
      <cdr:spPr>
        <a:xfrm xmlns:a="http://schemas.openxmlformats.org/drawingml/2006/main">
          <a:off x="4933950" y="4552950"/>
          <a:ext cx="228600" cy="3683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5</xdr:row>
      <xdr:rowOff>25400</xdr:rowOff>
    </xdr:from>
    <xdr:to>
      <xdr:col>14</xdr:col>
      <xdr:colOff>647700</xdr:colOff>
      <xdr:row>32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52655C-EDD9-B01B-4020-C10E2EA74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0.23207</cdr:x>
      <cdr:y>0.47454</cdr:y>
    </cdr:from>
    <cdr:to>
      <cdr:x>0.29684</cdr:x>
      <cdr:y>0.47685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292123C6-BE7E-205B-2EEA-283F40A26203}"/>
            </a:ext>
          </a:extLst>
        </cdr:cNvPr>
        <cdr:cNvCxnSpPr/>
      </cdr:nvCxnSpPr>
      <cdr:spPr>
        <a:xfrm xmlns:a="http://schemas.openxmlformats.org/drawingml/2006/main">
          <a:off x="1911350" y="2603500"/>
          <a:ext cx="533400" cy="127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0.6916</cdr:x>
      <cdr:y>0.6412</cdr:y>
    </cdr:from>
    <cdr:to>
      <cdr:x>0.79029</cdr:x>
      <cdr:y>0.6713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B3DF22D9-BE97-6A4D-D0C7-DCF44EC0F561}"/>
            </a:ext>
          </a:extLst>
        </cdr:cNvPr>
        <cdr:cNvCxnSpPr/>
      </cdr:nvCxnSpPr>
      <cdr:spPr>
        <a:xfrm xmlns:a="http://schemas.openxmlformats.org/drawingml/2006/main">
          <a:off x="5695950" y="3517900"/>
          <a:ext cx="812800" cy="165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0.46646</cdr:x>
      <cdr:y>0.15741</cdr:y>
    </cdr:from>
    <cdr:to>
      <cdr:x>0.48034</cdr:x>
      <cdr:y>0.23611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1A6BA2EE-7341-51B0-AE9B-9619247B2835}"/>
            </a:ext>
          </a:extLst>
        </cdr:cNvPr>
        <cdr:cNvCxnSpPr/>
      </cdr:nvCxnSpPr>
      <cdr:spPr>
        <a:xfrm xmlns:a="http://schemas.openxmlformats.org/drawingml/2006/main" flipH="1" flipV="1">
          <a:off x="3841750" y="863600"/>
          <a:ext cx="114300" cy="431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12700</xdr:rowOff>
    </xdr:from>
    <xdr:to>
      <xdr:col>14</xdr:col>
      <xdr:colOff>139700</xdr:colOff>
      <xdr:row>33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6BB9E-032B-80EC-0425-C7F73BAB1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0.23421</cdr:x>
      <cdr:y>0.35376</cdr:y>
    </cdr:from>
    <cdr:to>
      <cdr:x>0.30971</cdr:x>
      <cdr:y>0.40231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6C81B04-B965-F6E7-8008-089FD8C60553}"/>
            </a:ext>
          </a:extLst>
        </cdr:cNvPr>
        <cdr:cNvCxnSpPr/>
      </cdr:nvCxnSpPr>
      <cdr:spPr>
        <a:xfrm xmlns:a="http://schemas.openxmlformats.org/drawingml/2006/main">
          <a:off x="1930400" y="1943100"/>
          <a:ext cx="622300" cy="2667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0.41757</cdr:x>
      <cdr:y>0.15723</cdr:y>
    </cdr:from>
    <cdr:to>
      <cdr:x>0.453</cdr:x>
      <cdr:y>0.24509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6FFB14EF-E4A3-9A75-4285-C94566E06394}"/>
            </a:ext>
          </a:extLst>
        </cdr:cNvPr>
        <cdr:cNvCxnSpPr/>
      </cdr:nvCxnSpPr>
      <cdr:spPr>
        <a:xfrm xmlns:a="http://schemas.openxmlformats.org/drawingml/2006/main">
          <a:off x="3441700" y="863600"/>
          <a:ext cx="292100" cy="4826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0.28351</cdr:x>
      <cdr:y>0.80462</cdr:y>
    </cdr:from>
    <cdr:to>
      <cdr:x>0.35901</cdr:x>
      <cdr:y>0.86705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6FFB14EF-E4A3-9A75-4285-C94566E06394}"/>
            </a:ext>
          </a:extLst>
        </cdr:cNvPr>
        <cdr:cNvCxnSpPr/>
      </cdr:nvCxnSpPr>
      <cdr:spPr>
        <a:xfrm xmlns:a="http://schemas.openxmlformats.org/drawingml/2006/main" flipV="1">
          <a:off x="2336800" y="4419600"/>
          <a:ext cx="622300" cy="3429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0.69337</cdr:x>
      <cdr:y>0.56647</cdr:y>
    </cdr:from>
    <cdr:to>
      <cdr:x>0.79969</cdr:x>
      <cdr:y>0.59653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6FFB14EF-E4A3-9A75-4285-C94566E06394}"/>
            </a:ext>
          </a:extLst>
        </cdr:cNvPr>
        <cdr:cNvCxnSpPr/>
      </cdr:nvCxnSpPr>
      <cdr:spPr>
        <a:xfrm xmlns:a="http://schemas.openxmlformats.org/drawingml/2006/main" flipV="1">
          <a:off x="5715000" y="3111500"/>
          <a:ext cx="876300" cy="165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558800</xdr:colOff>
      <xdr:row>3</xdr:row>
      <xdr:rowOff>114300</xdr:rowOff>
    </xdr:from>
    <xdr:to>
      <xdr:col>14</xdr:col>
      <xdr:colOff>546100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771A42-D012-5FEE-C665-FA46FC992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0.31433</cdr:x>
      <cdr:y>0.20729</cdr:y>
    </cdr:from>
    <cdr:to>
      <cdr:x>0.36364</cdr:x>
      <cdr:y>0.2779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B40C85F2-8567-185D-A7F6-782A20F0D4DC}"/>
            </a:ext>
          </a:extLst>
        </cdr:cNvPr>
        <cdr:cNvCxnSpPr/>
      </cdr:nvCxnSpPr>
      <cdr:spPr>
        <a:xfrm xmlns:a="http://schemas.openxmlformats.org/drawingml/2006/main">
          <a:off x="2590800" y="1155700"/>
          <a:ext cx="406400" cy="3937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0.23729</cdr:x>
      <cdr:y>0.63098</cdr:y>
    </cdr:from>
    <cdr:to>
      <cdr:x>0.2943</cdr:x>
      <cdr:y>0.67654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781CC549-A2D4-B7DD-6E1D-67BD0AC3D1CE}"/>
            </a:ext>
          </a:extLst>
        </cdr:cNvPr>
        <cdr:cNvCxnSpPr/>
      </cdr:nvCxnSpPr>
      <cdr:spPr>
        <a:xfrm xmlns:a="http://schemas.openxmlformats.org/drawingml/2006/main" flipV="1">
          <a:off x="1955800" y="3517900"/>
          <a:ext cx="469900" cy="2540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0.49153</cdr:x>
      <cdr:y>0.14806</cdr:y>
    </cdr:from>
    <cdr:to>
      <cdr:x>0.49153</cdr:x>
      <cdr:y>0.18223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A014BDBD-90B0-65EB-1F5F-CC7F41A51CDD}"/>
            </a:ext>
          </a:extLst>
        </cdr:cNvPr>
        <cdr:cNvCxnSpPr/>
      </cdr:nvCxnSpPr>
      <cdr:spPr>
        <a:xfrm xmlns:a="http://schemas.openxmlformats.org/drawingml/2006/main">
          <a:off x="4051300" y="825500"/>
          <a:ext cx="0" cy="1905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0.70108</cdr:x>
      <cdr:y>0.31663</cdr:y>
    </cdr:from>
    <cdr:to>
      <cdr:x>0.75501</cdr:x>
      <cdr:y>0.38269</cdr:y>
    </cdr:to>
    <cdr:cxnSp macro="">
      <cdr:nvCxnSpPr>
        <cdr:cNvPr id="12" name="Straight Connector 11">
          <a:extLst xmlns:a="http://schemas.openxmlformats.org/drawingml/2006/main">
            <a:ext uri="{FF2B5EF4-FFF2-40B4-BE49-F238E27FC236}">
              <a16:creationId xmlns:a16="http://schemas.microsoft.com/office/drawing/2014/main" id="{605E70F9-6BC5-2C74-0454-0E20042189C2}"/>
            </a:ext>
          </a:extLst>
        </cdr:cNvPr>
        <cdr:cNvCxnSpPr/>
      </cdr:nvCxnSpPr>
      <cdr:spPr>
        <a:xfrm xmlns:a="http://schemas.openxmlformats.org/drawingml/2006/main" flipV="1">
          <a:off x="5778500" y="1765300"/>
          <a:ext cx="444500" cy="3683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0.60709</cdr:x>
      <cdr:y>0.82005</cdr:y>
    </cdr:from>
    <cdr:to>
      <cdr:x>0.65485</cdr:x>
      <cdr:y>0.89522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7C23787E-4CEC-4CAB-3160-7BDC49FE0792}"/>
            </a:ext>
          </a:extLst>
        </cdr:cNvPr>
        <cdr:cNvCxnSpPr/>
      </cdr:nvCxnSpPr>
      <cdr:spPr>
        <a:xfrm xmlns:a="http://schemas.openxmlformats.org/drawingml/2006/main">
          <a:off x="5003800" y="4572000"/>
          <a:ext cx="393700" cy="419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660400</xdr:colOff>
      <xdr:row>5</xdr:row>
      <xdr:rowOff>0</xdr:rowOff>
    </xdr:from>
    <xdr:to>
      <xdr:col>14</xdr:col>
      <xdr:colOff>647700</xdr:colOff>
      <xdr:row>32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704F80-2A94-58D4-8464-6B0D13281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0.20185</cdr:x>
      <cdr:y>0.67052</cdr:y>
    </cdr:from>
    <cdr:to>
      <cdr:x>0.30971</cdr:x>
      <cdr:y>0.67977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FFE3AB6B-4D87-A7CB-F635-34DEE552B695}"/>
            </a:ext>
          </a:extLst>
        </cdr:cNvPr>
        <cdr:cNvCxnSpPr/>
      </cdr:nvCxnSpPr>
      <cdr:spPr>
        <a:xfrm xmlns:a="http://schemas.openxmlformats.org/drawingml/2006/main">
          <a:off x="1663700" y="3683000"/>
          <a:ext cx="889000" cy="50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0.3282</cdr:x>
      <cdr:y>0.19191</cdr:y>
    </cdr:from>
    <cdr:to>
      <cdr:x>0.37904</cdr:x>
      <cdr:y>0.25202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E620F503-2939-D464-8160-CD172DAAEC52}"/>
            </a:ext>
          </a:extLst>
        </cdr:cNvPr>
        <cdr:cNvCxnSpPr/>
      </cdr:nvCxnSpPr>
      <cdr:spPr>
        <a:xfrm xmlns:a="http://schemas.openxmlformats.org/drawingml/2006/main">
          <a:off x="2705100" y="1054100"/>
          <a:ext cx="419100" cy="3302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0.69492</cdr:x>
      <cdr:y>0.64277</cdr:y>
    </cdr:from>
    <cdr:to>
      <cdr:x>0.75809</cdr:x>
      <cdr:y>0.6474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D6737CAC-3789-A1EB-EAEE-D0F469C1DF9A}"/>
            </a:ext>
          </a:extLst>
        </cdr:cNvPr>
        <cdr:cNvCxnSpPr/>
      </cdr:nvCxnSpPr>
      <cdr:spPr>
        <a:xfrm xmlns:a="http://schemas.openxmlformats.org/drawingml/2006/main">
          <a:off x="5727700" y="3530600"/>
          <a:ext cx="520700" cy="254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800100</xdr:colOff>
      <xdr:row>3</xdr:row>
      <xdr:rowOff>88900</xdr:rowOff>
    </xdr:from>
    <xdr:to>
      <xdr:col>14</xdr:col>
      <xdr:colOff>774700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6ABAF-CE3A-E3A8-19E3-73F3B18A32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0.34414</cdr:x>
      <cdr:y>0.20177</cdr:y>
    </cdr:from>
    <cdr:to>
      <cdr:x>0.41204</cdr:x>
      <cdr:y>0.29268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33D27493-761F-90B4-462B-CB7B24779502}"/>
            </a:ext>
          </a:extLst>
        </cdr:cNvPr>
        <cdr:cNvCxnSpPr/>
      </cdr:nvCxnSpPr>
      <cdr:spPr>
        <a:xfrm xmlns:a="http://schemas.openxmlformats.org/drawingml/2006/main">
          <a:off x="2832100" y="1155700"/>
          <a:ext cx="558800" cy="5207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0.20525</cdr:x>
      <cdr:y>0.4878</cdr:y>
    </cdr:from>
    <cdr:to>
      <cdr:x>0.28549</cdr:x>
      <cdr:y>0.49224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23BAA0C0-00A2-A024-11EB-B65FB0094E17}"/>
            </a:ext>
          </a:extLst>
        </cdr:cNvPr>
        <cdr:cNvCxnSpPr/>
      </cdr:nvCxnSpPr>
      <cdr:spPr>
        <a:xfrm xmlns:a="http://schemas.openxmlformats.org/drawingml/2006/main" flipV="1">
          <a:off x="1689100" y="2794000"/>
          <a:ext cx="660400" cy="254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0.68673</cdr:x>
      <cdr:y>0.37251</cdr:y>
    </cdr:from>
    <cdr:to>
      <cdr:x>0.75926</cdr:x>
      <cdr:y>0.4102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0F18FE15-8D44-BDB1-E16E-8B862BA9B22D}"/>
            </a:ext>
          </a:extLst>
        </cdr:cNvPr>
        <cdr:cNvCxnSpPr/>
      </cdr:nvCxnSpPr>
      <cdr:spPr>
        <a:xfrm xmlns:a="http://schemas.openxmlformats.org/drawingml/2006/main" flipV="1">
          <a:off x="5651500" y="2133600"/>
          <a:ext cx="596900" cy="2159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0.44136</cdr:x>
      <cdr:y>0.85144</cdr:y>
    </cdr:from>
    <cdr:to>
      <cdr:x>0.46296</cdr:x>
      <cdr:y>0.91353</cdr:y>
    </cdr:to>
    <cdr:cxnSp macro="">
      <cdr:nvCxnSpPr>
        <cdr:cNvPr id="12" name="Straight Connector 11">
          <a:extLst xmlns:a="http://schemas.openxmlformats.org/drawingml/2006/main">
            <a:ext uri="{FF2B5EF4-FFF2-40B4-BE49-F238E27FC236}">
              <a16:creationId xmlns:a16="http://schemas.microsoft.com/office/drawing/2014/main" id="{0F18FE15-8D44-BDB1-E16E-8B862BA9B22D}"/>
            </a:ext>
          </a:extLst>
        </cdr:cNvPr>
        <cdr:cNvCxnSpPr/>
      </cdr:nvCxnSpPr>
      <cdr:spPr>
        <a:xfrm xmlns:a="http://schemas.openxmlformats.org/drawingml/2006/main" flipV="1">
          <a:off x="3632200" y="4876800"/>
          <a:ext cx="177800" cy="3556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shawn Denise Fofung" refreshedDate="45811.427092592596" createdVersion="8" refreshedVersion="8" minRefreshableVersion="3" recordCount="6" xr:uid="{57C0A0EC-5D58-F24D-991B-631D69D27BBE}">
  <cacheSource type="worksheet">
    <worksheetSource ref="A2:I8" sheet="Market Demand"/>
  </cacheSource>
  <cacheFields count="9">
    <cacheField name="Company" numFmtId="3">
      <sharedItems count="6">
        <s v="FO Treads Bikes"/>
        <s v="THE GOOD BIKE"/>
        <s v="Thunder Bike"/>
        <s v="BIK3D"/>
        <s v="Back to Bike"/>
        <s v="Total"/>
      </sharedItems>
    </cacheField>
    <cacheField name="Recreation Q2" numFmtId="3">
      <sharedItems containsSemiMixedTypes="0" containsString="0" containsNumber="1" containsInteger="1" minValue="1" maxValue="730"/>
    </cacheField>
    <cacheField name="Mountain Q2" numFmtId="3">
      <sharedItems containsSemiMixedTypes="0" containsString="0" containsNumber="1" containsInteger="1" minValue="0" maxValue="285"/>
    </cacheField>
    <cacheField name="Speed Q2" numFmtId="3">
      <sharedItems containsSemiMixedTypes="0" containsString="0" containsNumber="1" containsInteger="1" minValue="0" maxValue="361"/>
    </cacheField>
    <cacheField name="Total Demand Q2" numFmtId="3">
      <sharedItems containsSemiMixedTypes="0" containsString="0" containsNumber="1" containsInteger="1" minValue="31" maxValue="1376" count="6">
        <n v="570"/>
        <n v="31"/>
        <n v="275"/>
        <n v="269"/>
        <n v="231"/>
        <n v="1376"/>
      </sharedItems>
    </cacheField>
    <cacheField name="Recreation Q3" numFmtId="3">
      <sharedItems containsSemiMixedTypes="0" containsString="0" containsNumber="1" containsInteger="1" minValue="16" maxValue="2012"/>
    </cacheField>
    <cacheField name="Mountain Q3" numFmtId="3">
      <sharedItems containsSemiMixedTypes="0" containsString="0" containsNumber="1" containsInteger="1" minValue="0" maxValue="547"/>
    </cacheField>
    <cacheField name="Speed Q3" numFmtId="3">
      <sharedItems containsSemiMixedTypes="0" containsString="0" containsNumber="1" containsInteger="1" minValue="0" maxValue="1127"/>
    </cacheField>
    <cacheField name="Total Demand Q3" numFmtId="3">
      <sharedItems containsSemiMixedTypes="0" containsString="0" containsNumber="1" containsInteger="1" minValue="258" maxValue="3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shawn Denise Fofung" refreshedDate="45812.073065393517" createdVersion="8" refreshedVersion="8" minRefreshableVersion="3" recordCount="6" xr:uid="{9CA0CC30-4009-DB4C-A886-8ADF3DC4F992}">
  <cacheSource type="worksheet">
    <worksheetSource ref="A2:I8" sheet="Market Share (MS)"/>
  </cacheSource>
  <cacheFields count="9">
    <cacheField name="Company" numFmtId="0">
      <sharedItems containsBlank="1" count="6">
        <m/>
        <s v="FO Treads Bikes"/>
        <s v="THE GOOD BIKE"/>
        <s v="Thunder Bike"/>
        <s v="BIK3D"/>
        <s v="Back to Bike"/>
      </sharedItems>
    </cacheField>
    <cacheField name="Recreation Q2" numFmtId="0">
      <sharedItems containsString="0" containsBlank="1" containsNumber="1" minValue="0.14000000000000001" maxValue="30.55"/>
    </cacheField>
    <cacheField name="Mountain Q2" numFmtId="0">
      <sharedItems containsString="0" containsBlank="1" containsNumber="1" minValue="0" maxValue="58.25"/>
    </cacheField>
    <cacheField name="Speed Q2" numFmtId="0">
      <sharedItems containsString="0" containsBlank="1" containsNumber="1" minValue="0" maxValue="50.14"/>
    </cacheField>
    <cacheField name="Total" numFmtId="0">
      <sharedItems containsMixedTypes="1" containsNumber="1" minValue="2.25" maxValue="41.42"/>
    </cacheField>
    <cacheField name="Recreation Q3" numFmtId="0">
      <sharedItems containsString="0" containsBlank="1" containsNumber="1" minValue="0.8" maxValue="29.77"/>
    </cacheField>
    <cacheField name="Mountain Q3" numFmtId="0">
      <sharedItems containsString="0" containsBlank="1" containsNumber="1" minValue="0" maxValue="56.86"/>
    </cacheField>
    <cacheField name="Speed Q3" numFmtId="0">
      <sharedItems containsString="0" containsBlank="1" containsNumber="1" minValue="0" maxValue="35.14"/>
    </cacheField>
    <cacheField name="Total2" numFmtId="0">
      <sharedItems containsMixedTypes="1" containsNumber="1" minValue="7" maxValue="26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223"/>
    <n v="166"/>
    <n v="181"/>
    <x v="0"/>
    <n v="317"/>
    <n v="150"/>
    <n v="192"/>
    <n v="659"/>
  </r>
  <r>
    <x v="1"/>
    <n v="1"/>
    <n v="7"/>
    <n v="23"/>
    <x v="1"/>
    <n v="16"/>
    <n v="86"/>
    <n v="156"/>
    <n v="258"/>
  </r>
  <r>
    <x v="2"/>
    <n v="201"/>
    <n v="0"/>
    <n v="74"/>
    <x v="2"/>
    <n v="550"/>
    <n v="0"/>
    <n v="383"/>
    <n v="933"/>
  </r>
  <r>
    <x v="3"/>
    <n v="157"/>
    <n v="112"/>
    <n v="0"/>
    <x v="3"/>
    <n v="530"/>
    <n v="311"/>
    <n v="0"/>
    <n v="841"/>
  </r>
  <r>
    <x v="4"/>
    <n v="148"/>
    <n v="0"/>
    <n v="83"/>
    <x v="4"/>
    <n v="599"/>
    <n v="0"/>
    <n v="396"/>
    <n v="995"/>
  </r>
  <r>
    <x v="5"/>
    <n v="730"/>
    <n v="285"/>
    <n v="361"/>
    <x v="5"/>
    <n v="2012"/>
    <n v="547"/>
    <n v="1127"/>
    <n v="368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m/>
    <m/>
    <m/>
    <s v="Market Share Q2"/>
    <m/>
    <m/>
    <m/>
    <s v="Market Share Q3"/>
  </r>
  <r>
    <x v="1"/>
    <n v="30.55"/>
    <n v="58.25"/>
    <n v="50.14"/>
    <n v="41.42"/>
    <n v="15.76"/>
    <n v="27.42"/>
    <n v="17.04"/>
    <n v="17.88"/>
  </r>
  <r>
    <x v="2"/>
    <n v="0.14000000000000001"/>
    <n v="2.46"/>
    <n v="6.37"/>
    <n v="2.25"/>
    <n v="0.8"/>
    <n v="15.72"/>
    <n v="13.84"/>
    <n v="7"/>
  </r>
  <r>
    <x v="3"/>
    <n v="27.53"/>
    <n v="0"/>
    <n v="20.5"/>
    <n v="19.989999999999998"/>
    <n v="27.34"/>
    <n v="0"/>
    <n v="33.979999999999997"/>
    <n v="25.31"/>
  </r>
  <r>
    <x v="4"/>
    <n v="21.51"/>
    <n v="39.299999999999997"/>
    <n v="0"/>
    <n v="19.55"/>
    <n v="26.34"/>
    <n v="56.86"/>
    <n v="0"/>
    <n v="22.82"/>
  </r>
  <r>
    <x v="5"/>
    <n v="20.27"/>
    <n v="0"/>
    <n v="22.99"/>
    <n v="16.79"/>
    <n v="29.77"/>
    <n v="0"/>
    <n v="35.14"/>
    <n v="26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93E25C-E9CD-9E4A-BABE-3B60DA7EEBCB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C9" firstHeaderRow="0" firstDataRow="1" firstDataCol="1"/>
  <pivotFields count="9">
    <pivotField axis="axisRow" showAll="0">
      <items count="7">
        <item x="4"/>
        <item x="3"/>
        <item x="0"/>
        <item x="1"/>
        <item x="2"/>
        <item h="1" x="5"/>
        <item t="default"/>
      </items>
    </pivotField>
    <pivotField numFmtId="3" showAll="0"/>
    <pivotField numFmtId="3" showAll="0"/>
    <pivotField numFmtId="3" showAll="0"/>
    <pivotField dataField="1" numFmtId="3" showAll="0">
      <items count="7">
        <item x="1"/>
        <item x="4"/>
        <item x="3"/>
        <item x="2"/>
        <item x="0"/>
        <item x="5"/>
        <item t="default"/>
      </items>
    </pivotField>
    <pivotField numFmtId="3" showAll="0"/>
    <pivotField numFmtId="3" showAll="0"/>
    <pivotField numFmtId="3" showAll="0"/>
    <pivotField dataField="1" numFmtId="3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Q2" fld="4" baseField="0" baseItem="0"/>
    <dataField name="Q3" fld="8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1979E-9F01-FC42-8B14-25AAC0DFAD6C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2"/>
    </i>
    <i>
      <x v="4"/>
    </i>
    <i>
      <x v="1"/>
    </i>
    <i>
      <x/>
    </i>
    <i>
      <x v="3"/>
    </i>
    <i t="grand">
      <x/>
    </i>
  </rowItems>
  <colItems count="1">
    <i/>
  </colItems>
  <dataFields count="1">
    <dataField name=" Q2" fld="1" baseField="0" baseItem="0"/>
  </dataFields>
  <formats count="1">
    <format dxfId="4">
      <pivotArea collapsedLevelsAreSubtotals="1" fieldPosition="0">
        <references count="1">
          <reference field="0" count="0"/>
        </references>
      </pivotArea>
    </format>
  </formats>
  <chartFormats count="6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8B88E7-DA21-0D4F-AEFE-2D6C74961184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2"/>
    </i>
    <i>
      <x v="1"/>
    </i>
    <i>
      <x v="3"/>
    </i>
    <i>
      <x v="4"/>
    </i>
    <i>
      <x/>
    </i>
    <i t="grand">
      <x/>
    </i>
  </rowItems>
  <colItems count="1">
    <i/>
  </colItems>
  <dataFields count="1">
    <dataField name="Sum of Mountain Q2" fld="2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5A8B-BD37-9642-A5FE-5F9A5641D070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2"/>
    </i>
    <i>
      <x/>
    </i>
    <i>
      <x v="4"/>
    </i>
    <i>
      <x v="3"/>
    </i>
    <i>
      <x v="1"/>
    </i>
    <i t="grand">
      <x/>
    </i>
  </rowItems>
  <colItems count="1">
    <i/>
  </colItems>
  <dataFields count="1">
    <dataField name="Sum of Speed Q2" fld="3" baseField="0" baseItem="0"/>
  </dataFields>
  <formats count="1">
    <format dxfId="3">
      <pivotArea collapsedLevelsAreSubtotals="1" fieldPosition="0">
        <references count="1">
          <reference field="0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351DC-6036-FD43-912C-792A3A6F4CD5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4"/>
    </i>
    <i>
      <x v="1"/>
    </i>
    <i>
      <x v="2"/>
    </i>
    <i>
      <x v="3"/>
    </i>
    <i t="grand">
      <x/>
    </i>
  </rowItems>
  <colItems count="1">
    <i/>
  </colItems>
  <dataFields count="1">
    <dataField name="Sum of Recreation Q3" fld="5" baseField="0" baseItem="0"/>
  </dataFields>
  <formats count="1">
    <format dxfId="2">
      <pivotArea collapsedLevelsAreSubtotals="1" fieldPosition="0">
        <references count="1">
          <reference field="0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38589-BD18-0A49-AAB1-F16460E28873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6">
    <i>
      <x v="1"/>
    </i>
    <i>
      <x v="2"/>
    </i>
    <i>
      <x v="3"/>
    </i>
    <i>
      <x v="4"/>
    </i>
    <i>
      <x/>
    </i>
    <i t="grand">
      <x/>
    </i>
  </rowItems>
  <colItems count="1">
    <i/>
  </colItems>
  <dataFields count="1">
    <dataField name="Sum of Mountain Q3" fld="6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007C7-FD24-0D48-8698-AF87491A9D15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9" firstHeaderRow="1" firstDataRow="1" firstDataCol="1"/>
  <pivotFields count="9">
    <pivotField axis="axisRow" showAll="0" sortType="descending">
      <items count="7">
        <item x="5"/>
        <item x="4"/>
        <item x="1"/>
        <item x="2"/>
        <item x="3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Speed Q3" fld="7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B37F-B54E-A344-B403-50C277B9DD4F}">
  <dimension ref="A1:I8"/>
  <sheetViews>
    <sheetView workbookViewId="0">
      <selection activeCell="C26" sqref="C26"/>
    </sheetView>
  </sheetViews>
  <sheetFormatPr baseColWidth="10" defaultRowHeight="16" x14ac:dyDescent="0.2"/>
  <cols>
    <col min="1" max="1" width="21.83203125" customWidth="1"/>
    <col min="2" max="2" width="13" customWidth="1"/>
    <col min="3" max="3" width="13.5" customWidth="1"/>
    <col min="4" max="4" width="16.33203125" customWidth="1"/>
    <col min="5" max="5" width="21" customWidth="1"/>
    <col min="6" max="6" width="16.6640625" customWidth="1"/>
    <col min="7" max="7" width="13.6640625" customWidth="1"/>
    <col min="8" max="8" width="15.33203125" customWidth="1"/>
    <col min="9" max="9" width="18.33203125" customWidth="1"/>
  </cols>
  <sheetData>
    <row r="1" spans="1:9" ht="17" x14ac:dyDescent="0.2">
      <c r="A1" s="1" t="s">
        <v>0</v>
      </c>
    </row>
    <row r="2" spans="1:9" x14ac:dyDescent="0.2">
      <c r="A2" s="3" t="s">
        <v>1</v>
      </c>
      <c r="B2" s="3" t="s">
        <v>12</v>
      </c>
      <c r="C2" s="3" t="s">
        <v>13</v>
      </c>
      <c r="D2" s="3" t="s">
        <v>14</v>
      </c>
      <c r="E2" s="3" t="s">
        <v>15</v>
      </c>
      <c r="F2" s="3" t="s">
        <v>11</v>
      </c>
      <c r="G2" s="3" t="s">
        <v>10</v>
      </c>
      <c r="H2" s="3" t="s">
        <v>9</v>
      </c>
      <c r="I2" s="3" t="s">
        <v>8</v>
      </c>
    </row>
    <row r="3" spans="1:9" x14ac:dyDescent="0.2">
      <c r="A3" s="4" t="s">
        <v>2</v>
      </c>
      <c r="B3" s="2">
        <v>223</v>
      </c>
      <c r="C3" s="2">
        <v>166</v>
      </c>
      <c r="D3" s="2">
        <v>181</v>
      </c>
      <c r="E3" s="5">
        <v>570</v>
      </c>
      <c r="F3" s="2">
        <v>317</v>
      </c>
      <c r="G3" s="2">
        <v>150</v>
      </c>
      <c r="H3" s="2">
        <v>192</v>
      </c>
      <c r="I3" s="5">
        <v>659</v>
      </c>
    </row>
    <row r="4" spans="1:9" x14ac:dyDescent="0.2">
      <c r="A4" s="4" t="s">
        <v>3</v>
      </c>
      <c r="B4" s="2">
        <v>1</v>
      </c>
      <c r="C4" s="2">
        <v>7</v>
      </c>
      <c r="D4" s="2">
        <v>23</v>
      </c>
      <c r="E4" s="5">
        <v>31</v>
      </c>
      <c r="F4" s="2">
        <v>16</v>
      </c>
      <c r="G4" s="2">
        <v>86</v>
      </c>
      <c r="H4" s="2">
        <v>156</v>
      </c>
      <c r="I4" s="5">
        <v>258</v>
      </c>
    </row>
    <row r="5" spans="1:9" x14ac:dyDescent="0.2">
      <c r="A5" s="4" t="s">
        <v>4</v>
      </c>
      <c r="B5" s="2">
        <v>201</v>
      </c>
      <c r="C5" s="2">
        <v>0</v>
      </c>
      <c r="D5" s="2">
        <v>74</v>
      </c>
      <c r="E5" s="5">
        <v>275</v>
      </c>
      <c r="F5" s="2">
        <v>550</v>
      </c>
      <c r="G5" s="2">
        <v>0</v>
      </c>
      <c r="H5" s="2">
        <v>383</v>
      </c>
      <c r="I5" s="5">
        <v>933</v>
      </c>
    </row>
    <row r="6" spans="1:9" x14ac:dyDescent="0.2">
      <c r="A6" s="4" t="s">
        <v>5</v>
      </c>
      <c r="B6" s="2">
        <v>157</v>
      </c>
      <c r="C6" s="2">
        <v>112</v>
      </c>
      <c r="D6" s="2">
        <v>0</v>
      </c>
      <c r="E6" s="5">
        <v>269</v>
      </c>
      <c r="F6" s="2">
        <v>530</v>
      </c>
      <c r="G6" s="2">
        <v>311</v>
      </c>
      <c r="H6" s="2">
        <v>0</v>
      </c>
      <c r="I6" s="5">
        <v>841</v>
      </c>
    </row>
    <row r="7" spans="1:9" x14ac:dyDescent="0.2">
      <c r="A7" s="4" t="s">
        <v>6</v>
      </c>
      <c r="B7" s="2">
        <v>148</v>
      </c>
      <c r="C7" s="2">
        <v>0</v>
      </c>
      <c r="D7" s="2">
        <v>83</v>
      </c>
      <c r="E7" s="5">
        <v>231</v>
      </c>
      <c r="F7" s="2">
        <v>599</v>
      </c>
      <c r="G7" s="2">
        <v>0</v>
      </c>
      <c r="H7" s="2">
        <v>396</v>
      </c>
      <c r="I7" s="5">
        <v>995</v>
      </c>
    </row>
    <row r="8" spans="1:9" x14ac:dyDescent="0.2">
      <c r="A8" s="6" t="s">
        <v>7</v>
      </c>
      <c r="B8" s="5">
        <v>730</v>
      </c>
      <c r="C8" s="5">
        <v>285</v>
      </c>
      <c r="D8" s="5">
        <v>361</v>
      </c>
      <c r="E8" s="5">
        <v>1376</v>
      </c>
      <c r="F8" s="5">
        <v>2012</v>
      </c>
      <c r="G8" s="5">
        <v>547</v>
      </c>
      <c r="H8" s="5">
        <v>1127</v>
      </c>
      <c r="I8" s="5">
        <v>3686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4882-D900-8241-970F-26836F5E4A13}">
  <dimension ref="A3:C9"/>
  <sheetViews>
    <sheetView showGridLines="0" topLeftCell="A4" zoomScale="130" zoomScaleNormal="130" workbookViewId="0">
      <selection activeCell="G25" sqref="G25"/>
    </sheetView>
  </sheetViews>
  <sheetFormatPr baseColWidth="10" defaultRowHeight="16" x14ac:dyDescent="0.2"/>
  <cols>
    <col min="1" max="1" width="14" bestFit="1" customWidth="1"/>
    <col min="2" max="3" width="5.1640625" bestFit="1" customWidth="1"/>
    <col min="4" max="6" width="4.1640625" bestFit="1" customWidth="1"/>
    <col min="7" max="7" width="21.5" bestFit="1" customWidth="1"/>
    <col min="8" max="11" width="4.1640625" bestFit="1" customWidth="1"/>
    <col min="12" max="13" width="25.83203125" bestFit="1" customWidth="1"/>
  </cols>
  <sheetData>
    <row r="3" spans="1:3" x14ac:dyDescent="0.2">
      <c r="A3" s="7" t="s">
        <v>16</v>
      </c>
      <c r="B3" t="s">
        <v>19</v>
      </c>
      <c r="C3" t="s">
        <v>18</v>
      </c>
    </row>
    <row r="4" spans="1:3" x14ac:dyDescent="0.2">
      <c r="A4" s="8" t="s">
        <v>6</v>
      </c>
      <c r="B4">
        <v>231</v>
      </c>
      <c r="C4">
        <v>995</v>
      </c>
    </row>
    <row r="5" spans="1:3" x14ac:dyDescent="0.2">
      <c r="A5" s="8" t="s">
        <v>5</v>
      </c>
      <c r="B5">
        <v>269</v>
      </c>
      <c r="C5">
        <v>841</v>
      </c>
    </row>
    <row r="6" spans="1:3" x14ac:dyDescent="0.2">
      <c r="A6" s="8" t="s">
        <v>2</v>
      </c>
      <c r="B6">
        <v>570</v>
      </c>
      <c r="C6">
        <v>659</v>
      </c>
    </row>
    <row r="7" spans="1:3" x14ac:dyDescent="0.2">
      <c r="A7" s="8" t="s">
        <v>3</v>
      </c>
      <c r="B7">
        <v>31</v>
      </c>
      <c r="C7">
        <v>258</v>
      </c>
    </row>
    <row r="8" spans="1:3" x14ac:dyDescent="0.2">
      <c r="A8" s="8" t="s">
        <v>4</v>
      </c>
      <c r="B8">
        <v>275</v>
      </c>
      <c r="C8">
        <v>933</v>
      </c>
    </row>
    <row r="9" spans="1:3" x14ac:dyDescent="0.2">
      <c r="A9" s="8" t="s">
        <v>17</v>
      </c>
      <c r="B9">
        <v>1376</v>
      </c>
      <c r="C9">
        <v>3686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B262-6098-D54D-9E2F-F3A53FD3D477}">
  <dimension ref="A1:I8"/>
  <sheetViews>
    <sheetView workbookViewId="0">
      <selection activeCell="J45" sqref="J45"/>
    </sheetView>
  </sheetViews>
  <sheetFormatPr baseColWidth="10" defaultRowHeight="16" x14ac:dyDescent="0.2"/>
  <cols>
    <col min="1" max="1" width="15.6640625" customWidth="1"/>
    <col min="2" max="2" width="21" customWidth="1"/>
    <col min="3" max="3" width="17.1640625" customWidth="1"/>
    <col min="4" max="4" width="15.1640625" customWidth="1"/>
    <col min="5" max="5" width="19.1640625" customWidth="1"/>
    <col min="6" max="6" width="16" customWidth="1"/>
    <col min="7" max="7" width="18.1640625" customWidth="1"/>
    <col min="8" max="8" width="15.6640625" customWidth="1"/>
    <col min="9" max="9" width="19" customWidth="1"/>
  </cols>
  <sheetData>
    <row r="1" spans="1:9" ht="17" x14ac:dyDescent="0.2">
      <c r="A1" s="9" t="s">
        <v>20</v>
      </c>
      <c r="B1" s="10"/>
      <c r="C1" s="10"/>
      <c r="D1" s="10"/>
      <c r="E1" s="10"/>
      <c r="F1" s="10"/>
      <c r="G1" s="10"/>
      <c r="H1" s="10"/>
      <c r="I1" s="10"/>
    </row>
    <row r="2" spans="1:9" x14ac:dyDescent="0.2">
      <c r="A2" s="13" t="s">
        <v>1</v>
      </c>
      <c r="B2" s="13" t="s">
        <v>12</v>
      </c>
      <c r="C2" s="13" t="s">
        <v>13</v>
      </c>
      <c r="D2" s="13" t="s">
        <v>14</v>
      </c>
      <c r="E2" s="11" t="s">
        <v>7</v>
      </c>
      <c r="F2" s="13" t="s">
        <v>11</v>
      </c>
      <c r="G2" s="13" t="s">
        <v>10</v>
      </c>
      <c r="H2" s="13" t="s">
        <v>9</v>
      </c>
      <c r="I2" s="11" t="s">
        <v>7</v>
      </c>
    </row>
    <row r="3" spans="1:9" x14ac:dyDescent="0.2">
      <c r="A3" s="13"/>
      <c r="B3" s="13"/>
      <c r="C3" s="13"/>
      <c r="D3" s="13"/>
      <c r="E3" s="11" t="s">
        <v>21</v>
      </c>
      <c r="F3" s="13"/>
      <c r="G3" s="13"/>
      <c r="H3" s="13"/>
      <c r="I3" s="11" t="s">
        <v>22</v>
      </c>
    </row>
    <row r="4" spans="1:9" x14ac:dyDescent="0.2">
      <c r="A4" s="10" t="s">
        <v>2</v>
      </c>
      <c r="B4" s="10">
        <v>30.55</v>
      </c>
      <c r="C4" s="10">
        <v>58.25</v>
      </c>
      <c r="D4" s="10">
        <v>50.14</v>
      </c>
      <c r="E4" s="11">
        <v>41.42</v>
      </c>
      <c r="F4" s="10">
        <v>15.76</v>
      </c>
      <c r="G4" s="10">
        <v>27.42</v>
      </c>
      <c r="H4" s="10">
        <v>17.04</v>
      </c>
      <c r="I4" s="11">
        <v>17.88</v>
      </c>
    </row>
    <row r="5" spans="1:9" x14ac:dyDescent="0.2">
      <c r="A5" s="10" t="s">
        <v>3</v>
      </c>
      <c r="B5" s="10">
        <v>0.14000000000000001</v>
      </c>
      <c r="C5" s="10">
        <v>2.46</v>
      </c>
      <c r="D5" s="10">
        <v>6.37</v>
      </c>
      <c r="E5" s="11">
        <v>2.25</v>
      </c>
      <c r="F5" s="10">
        <v>0.8</v>
      </c>
      <c r="G5" s="10">
        <v>15.72</v>
      </c>
      <c r="H5" s="10">
        <v>13.84</v>
      </c>
      <c r="I5" s="11">
        <v>7</v>
      </c>
    </row>
    <row r="6" spans="1:9" x14ac:dyDescent="0.2">
      <c r="A6" s="10" t="s">
        <v>4</v>
      </c>
      <c r="B6" s="10">
        <v>27.53</v>
      </c>
      <c r="C6" s="10">
        <v>0</v>
      </c>
      <c r="D6" s="10">
        <v>20.5</v>
      </c>
      <c r="E6" s="11">
        <v>19.989999999999998</v>
      </c>
      <c r="F6" s="10">
        <v>27.34</v>
      </c>
      <c r="G6" s="10">
        <v>0</v>
      </c>
      <c r="H6" s="10">
        <v>33.979999999999997</v>
      </c>
      <c r="I6" s="11">
        <v>25.31</v>
      </c>
    </row>
    <row r="7" spans="1:9" x14ac:dyDescent="0.2">
      <c r="A7" s="10" t="s">
        <v>5</v>
      </c>
      <c r="B7" s="10">
        <v>21.51</v>
      </c>
      <c r="C7" s="10">
        <v>39.299999999999997</v>
      </c>
      <c r="D7" s="10">
        <v>0</v>
      </c>
      <c r="E7" s="11">
        <v>19.55</v>
      </c>
      <c r="F7" s="10">
        <v>26.34</v>
      </c>
      <c r="G7" s="10">
        <v>56.86</v>
      </c>
      <c r="H7" s="10">
        <v>0</v>
      </c>
      <c r="I7" s="11">
        <v>22.82</v>
      </c>
    </row>
    <row r="8" spans="1:9" x14ac:dyDescent="0.2">
      <c r="A8" s="10" t="s">
        <v>6</v>
      </c>
      <c r="B8" s="10">
        <v>20.27</v>
      </c>
      <c r="C8" s="10">
        <v>0</v>
      </c>
      <c r="D8" s="10">
        <v>22.99</v>
      </c>
      <c r="E8" s="11">
        <v>16.79</v>
      </c>
      <c r="F8" s="10">
        <v>29.77</v>
      </c>
      <c r="G8" s="10">
        <v>0</v>
      </c>
      <c r="H8" s="10">
        <v>35.14</v>
      </c>
      <c r="I8" s="11">
        <v>26.99</v>
      </c>
    </row>
  </sheetData>
  <mergeCells count="7">
    <mergeCell ref="H2:H3"/>
    <mergeCell ref="A2:A3"/>
    <mergeCell ref="B2:B3"/>
    <mergeCell ref="C2:C3"/>
    <mergeCell ref="D2:D3"/>
    <mergeCell ref="F2:F3"/>
    <mergeCell ref="G2:G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0727B-54BF-3E45-AFD6-8810478AC8B9}">
  <dimension ref="A3:B9"/>
  <sheetViews>
    <sheetView workbookViewId="0">
      <selection activeCell="J33" sqref="J33"/>
    </sheetView>
  </sheetViews>
  <sheetFormatPr baseColWidth="10" defaultRowHeight="16" x14ac:dyDescent="0.2"/>
  <cols>
    <col min="1" max="1" width="14" bestFit="1" customWidth="1"/>
    <col min="2" max="2" width="6.1640625" bestFit="1" customWidth="1"/>
    <col min="3" max="3" width="7.1640625" bestFit="1" customWidth="1"/>
  </cols>
  <sheetData>
    <row r="3" spans="1:2" x14ac:dyDescent="0.2">
      <c r="A3" s="7" t="s">
        <v>16</v>
      </c>
      <c r="B3" t="s">
        <v>23</v>
      </c>
    </row>
    <row r="4" spans="1:2" x14ac:dyDescent="0.2">
      <c r="A4" s="8" t="s">
        <v>2</v>
      </c>
      <c r="B4" s="12">
        <v>30.55</v>
      </c>
    </row>
    <row r="5" spans="1:2" x14ac:dyDescent="0.2">
      <c r="A5" s="8" t="s">
        <v>4</v>
      </c>
      <c r="B5" s="12">
        <v>27.53</v>
      </c>
    </row>
    <row r="6" spans="1:2" x14ac:dyDescent="0.2">
      <c r="A6" s="8" t="s">
        <v>5</v>
      </c>
      <c r="B6" s="12">
        <v>21.51</v>
      </c>
    </row>
    <row r="7" spans="1:2" x14ac:dyDescent="0.2">
      <c r="A7" s="8" t="s">
        <v>6</v>
      </c>
      <c r="B7" s="12">
        <v>20.27</v>
      </c>
    </row>
    <row r="8" spans="1:2" x14ac:dyDescent="0.2">
      <c r="A8" s="8" t="s">
        <v>3</v>
      </c>
      <c r="B8" s="12">
        <v>0.14000000000000001</v>
      </c>
    </row>
    <row r="9" spans="1:2" x14ac:dyDescent="0.2">
      <c r="A9" s="8" t="s">
        <v>17</v>
      </c>
      <c r="B9">
        <v>100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90B1-FDE2-044B-8169-EEA4E16DF3C0}">
  <dimension ref="A3:B9"/>
  <sheetViews>
    <sheetView workbookViewId="0">
      <selection activeCell="H5" sqref="H5"/>
    </sheetView>
  </sheetViews>
  <sheetFormatPr baseColWidth="10" defaultRowHeight="16" x14ac:dyDescent="0.2"/>
  <cols>
    <col min="1" max="1" width="14" bestFit="1" customWidth="1"/>
    <col min="2" max="2" width="17.6640625" bestFit="1" customWidth="1"/>
  </cols>
  <sheetData>
    <row r="3" spans="1:2" x14ac:dyDescent="0.2">
      <c r="A3" s="7" t="s">
        <v>16</v>
      </c>
      <c r="B3" t="s">
        <v>24</v>
      </c>
    </row>
    <row r="4" spans="1:2" x14ac:dyDescent="0.2">
      <c r="A4" s="8" t="s">
        <v>2</v>
      </c>
      <c r="B4">
        <v>58.25</v>
      </c>
    </row>
    <row r="5" spans="1:2" x14ac:dyDescent="0.2">
      <c r="A5" s="8" t="s">
        <v>5</v>
      </c>
      <c r="B5">
        <v>39.299999999999997</v>
      </c>
    </row>
    <row r="6" spans="1:2" x14ac:dyDescent="0.2">
      <c r="A6" s="8" t="s">
        <v>3</v>
      </c>
      <c r="B6">
        <v>2.46</v>
      </c>
    </row>
    <row r="7" spans="1:2" x14ac:dyDescent="0.2">
      <c r="A7" s="8" t="s">
        <v>4</v>
      </c>
      <c r="B7">
        <v>0</v>
      </c>
    </row>
    <row r="8" spans="1:2" x14ac:dyDescent="0.2">
      <c r="A8" s="8" t="s">
        <v>6</v>
      </c>
      <c r="B8">
        <v>0</v>
      </c>
    </row>
    <row r="9" spans="1:2" x14ac:dyDescent="0.2">
      <c r="A9" s="8" t="s">
        <v>17</v>
      </c>
      <c r="B9">
        <v>100.00999999999999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78B9-EB94-6C44-9680-748089518CC2}">
  <dimension ref="A3:B9"/>
  <sheetViews>
    <sheetView workbookViewId="0">
      <selection activeCell="H4" sqref="H4"/>
    </sheetView>
  </sheetViews>
  <sheetFormatPr baseColWidth="10" defaultRowHeight="16" x14ac:dyDescent="0.2"/>
  <cols>
    <col min="1" max="1" width="14" bestFit="1" customWidth="1"/>
    <col min="2" max="2" width="14.83203125" bestFit="1" customWidth="1"/>
  </cols>
  <sheetData>
    <row r="3" spans="1:2" x14ac:dyDescent="0.2">
      <c r="A3" s="7" t="s">
        <v>16</v>
      </c>
      <c r="B3" t="s">
        <v>25</v>
      </c>
    </row>
    <row r="4" spans="1:2" x14ac:dyDescent="0.2">
      <c r="A4" s="8" t="s">
        <v>2</v>
      </c>
      <c r="B4" s="12">
        <v>50.14</v>
      </c>
    </row>
    <row r="5" spans="1:2" x14ac:dyDescent="0.2">
      <c r="A5" s="8" t="s">
        <v>6</v>
      </c>
      <c r="B5" s="12">
        <v>22.99</v>
      </c>
    </row>
    <row r="6" spans="1:2" x14ac:dyDescent="0.2">
      <c r="A6" s="8" t="s">
        <v>4</v>
      </c>
      <c r="B6" s="12">
        <v>20.5</v>
      </c>
    </row>
    <row r="7" spans="1:2" x14ac:dyDescent="0.2">
      <c r="A7" s="8" t="s">
        <v>3</v>
      </c>
      <c r="B7" s="12">
        <v>6.37</v>
      </c>
    </row>
    <row r="8" spans="1:2" x14ac:dyDescent="0.2">
      <c r="A8" s="8" t="s">
        <v>5</v>
      </c>
      <c r="B8" s="12">
        <v>0</v>
      </c>
    </row>
    <row r="9" spans="1:2" x14ac:dyDescent="0.2">
      <c r="A9" s="8" t="s">
        <v>17</v>
      </c>
      <c r="B9">
        <v>100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1C232-A433-604E-9B7F-8E405D95F057}">
  <dimension ref="A3:B9"/>
  <sheetViews>
    <sheetView workbookViewId="0">
      <selection activeCell="P9" sqref="P9"/>
    </sheetView>
  </sheetViews>
  <sheetFormatPr baseColWidth="10" defaultRowHeight="16" x14ac:dyDescent="0.2"/>
  <cols>
    <col min="1" max="1" width="14" bestFit="1" customWidth="1"/>
    <col min="2" max="2" width="19" bestFit="1" customWidth="1"/>
  </cols>
  <sheetData>
    <row r="3" spans="1:2" x14ac:dyDescent="0.2">
      <c r="A3" s="7" t="s">
        <v>16</v>
      </c>
      <c r="B3" t="s">
        <v>26</v>
      </c>
    </row>
    <row r="4" spans="1:2" x14ac:dyDescent="0.2">
      <c r="A4" s="8" t="s">
        <v>6</v>
      </c>
      <c r="B4" s="12">
        <v>29.77</v>
      </c>
    </row>
    <row r="5" spans="1:2" x14ac:dyDescent="0.2">
      <c r="A5" s="8" t="s">
        <v>4</v>
      </c>
      <c r="B5" s="12">
        <v>27.34</v>
      </c>
    </row>
    <row r="6" spans="1:2" x14ac:dyDescent="0.2">
      <c r="A6" s="8" t="s">
        <v>5</v>
      </c>
      <c r="B6" s="12">
        <v>26.34</v>
      </c>
    </row>
    <row r="7" spans="1:2" x14ac:dyDescent="0.2">
      <c r="A7" s="8" t="s">
        <v>2</v>
      </c>
      <c r="B7" s="12">
        <v>15.76</v>
      </c>
    </row>
    <row r="8" spans="1:2" x14ac:dyDescent="0.2">
      <c r="A8" s="8" t="s">
        <v>3</v>
      </c>
      <c r="B8" s="12">
        <v>0.8</v>
      </c>
    </row>
    <row r="9" spans="1:2" x14ac:dyDescent="0.2">
      <c r="A9" s="8" t="s">
        <v>17</v>
      </c>
      <c r="B9">
        <v>100.01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6792-1212-6B49-BC37-90F969475876}">
  <dimension ref="A3:B9"/>
  <sheetViews>
    <sheetView topLeftCell="A2" workbookViewId="0">
      <selection activeCell="D22" sqref="D22"/>
    </sheetView>
  </sheetViews>
  <sheetFormatPr baseColWidth="10" defaultRowHeight="16" x14ac:dyDescent="0.2"/>
  <cols>
    <col min="1" max="1" width="14" bestFit="1" customWidth="1"/>
    <col min="2" max="2" width="17.6640625" bestFit="1" customWidth="1"/>
  </cols>
  <sheetData>
    <row r="3" spans="1:2" x14ac:dyDescent="0.2">
      <c r="A3" s="7" t="s">
        <v>16</v>
      </c>
      <c r="B3" t="s">
        <v>27</v>
      </c>
    </row>
    <row r="4" spans="1:2" x14ac:dyDescent="0.2">
      <c r="A4" s="8" t="s">
        <v>5</v>
      </c>
      <c r="B4" s="12">
        <v>56.86</v>
      </c>
    </row>
    <row r="5" spans="1:2" x14ac:dyDescent="0.2">
      <c r="A5" s="8" t="s">
        <v>2</v>
      </c>
      <c r="B5" s="12">
        <v>27.42</v>
      </c>
    </row>
    <row r="6" spans="1:2" x14ac:dyDescent="0.2">
      <c r="A6" s="8" t="s">
        <v>3</v>
      </c>
      <c r="B6" s="12">
        <v>15.72</v>
      </c>
    </row>
    <row r="7" spans="1:2" x14ac:dyDescent="0.2">
      <c r="A7" s="8" t="s">
        <v>4</v>
      </c>
      <c r="B7" s="12">
        <v>0</v>
      </c>
    </row>
    <row r="8" spans="1:2" x14ac:dyDescent="0.2">
      <c r="A8" s="8" t="s">
        <v>6</v>
      </c>
      <c r="B8" s="12">
        <v>0</v>
      </c>
    </row>
    <row r="9" spans="1:2" x14ac:dyDescent="0.2">
      <c r="A9" s="8" t="s">
        <v>17</v>
      </c>
      <c r="B9">
        <v>100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577A3-884C-CE46-AA34-79C7AEDDC1DA}">
  <dimension ref="A3:B9"/>
  <sheetViews>
    <sheetView tabSelected="1" workbookViewId="0">
      <selection activeCell="Q38" sqref="Q38"/>
    </sheetView>
  </sheetViews>
  <sheetFormatPr baseColWidth="10" defaultRowHeight="16" x14ac:dyDescent="0.2"/>
  <cols>
    <col min="1" max="1" width="14" bestFit="1" customWidth="1"/>
    <col min="2" max="2" width="14.83203125" bestFit="1" customWidth="1"/>
  </cols>
  <sheetData>
    <row r="3" spans="1:2" x14ac:dyDescent="0.2">
      <c r="A3" s="7" t="s">
        <v>16</v>
      </c>
      <c r="B3" t="s">
        <v>28</v>
      </c>
    </row>
    <row r="4" spans="1:2" x14ac:dyDescent="0.2">
      <c r="A4" s="8" t="s">
        <v>6</v>
      </c>
      <c r="B4" s="12">
        <v>35.14</v>
      </c>
    </row>
    <row r="5" spans="1:2" x14ac:dyDescent="0.2">
      <c r="A5" s="8" t="s">
        <v>4</v>
      </c>
      <c r="B5" s="12">
        <v>33.979999999999997</v>
      </c>
    </row>
    <row r="6" spans="1:2" x14ac:dyDescent="0.2">
      <c r="A6" s="8" t="s">
        <v>2</v>
      </c>
      <c r="B6" s="12">
        <v>17.04</v>
      </c>
    </row>
    <row r="7" spans="1:2" x14ac:dyDescent="0.2">
      <c r="A7" s="8" t="s">
        <v>3</v>
      </c>
      <c r="B7" s="12">
        <v>13.84</v>
      </c>
    </row>
    <row r="8" spans="1:2" x14ac:dyDescent="0.2">
      <c r="A8" s="8" t="s">
        <v>5</v>
      </c>
      <c r="B8" s="12">
        <v>0</v>
      </c>
    </row>
    <row r="9" spans="1:2" x14ac:dyDescent="0.2">
      <c r="A9" s="8" t="s">
        <v>17</v>
      </c>
      <c r="B9">
        <v>100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Market Demand</vt:lpstr>
      <vt:lpstr>Total Demand Q2 and Q3</vt:lpstr>
      <vt:lpstr>Market Share (MS)</vt:lpstr>
      <vt:lpstr>MS recreation Q2</vt:lpstr>
      <vt:lpstr>MS Mountain Q2</vt:lpstr>
      <vt:lpstr>MS Speed Q2</vt:lpstr>
      <vt:lpstr>MS Recreation Q3</vt:lpstr>
      <vt:lpstr>MS Mountain Q3</vt:lpstr>
      <vt:lpstr>MS Speed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Lashawn Fofung</dc:creator>
  <cp:lastModifiedBy>Lashawn Fofung</cp:lastModifiedBy>
  <dcterms:created xsi:type="dcterms:W3CDTF">2025-06-03T14:07:58Z</dcterms:created>
  <dcterms:modified xsi:type="dcterms:W3CDTF">2025-06-28T07:59:06Z</dcterms:modified>
</cp:coreProperties>
</file>