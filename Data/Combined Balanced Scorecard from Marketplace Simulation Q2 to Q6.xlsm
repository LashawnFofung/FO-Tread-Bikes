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workbookPr defaultThemeVersion="202300"/>
  <mc:AlternateContent xmlns:mc="http://schemas.openxmlformats.org/markup-compatibility/2006">
    <mc:Choice Requires="x15">
      <x15ac:absPath xmlns:x15ac="http://schemas.microsoft.com/office/spreadsheetml/2010/11/ac" url="/Users/lashawnfofung/Documents/IT Resume &amp; Transcript/Portfolio/Projects/MBA Capstone/Excel Data for Github/"/>
    </mc:Choice>
  </mc:AlternateContent>
  <xr:revisionPtr revIDLastSave="0" documentId="8_{5DD65470-CFA8-0C41-B5D9-44406EDC5327}" xr6:coauthVersionLast="47" xr6:coauthVersionMax="47" xr10:uidLastSave="{00000000-0000-0000-0000-000000000000}"/>
  <bookViews>
    <workbookView xWindow="840" yWindow="1020" windowWidth="25300" windowHeight="16940" firstSheet="1" activeTab="2" xr2:uid="{A138694C-3B24-044C-9F0B-615632193F7D}"/>
  </bookViews>
  <sheets>
    <sheet name="Data Dictionary" sheetId="8" r:id="rId1"/>
    <sheet name="Combined" sheetId="5" r:id="rId2"/>
    <sheet name="Total Performance " sheetId="10" r:id="rId3"/>
    <sheet name="Industry Results for Quarter 2" sheetId="1" r:id="rId4"/>
    <sheet name="Industry Results for Quarter 3" sheetId="3" r:id="rId5"/>
    <sheet name="Industry Results for Quarter 4" sheetId="4" r:id="rId6"/>
    <sheet name="Industry Results for Quarter 5" sheetId="6" r:id="rId7"/>
    <sheet name="Industry Results for Quarter 6" sheetId="7" r:id="rId8"/>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<sst xmlns="http://schemas.openxmlformats.org/spreadsheetml/2006/main" count="166" uniqueCount="61">
  <si>
    <t>End of Worksheet</t>
  </si>
  <si>
    <t>Q2</t>
  </si>
  <si>
    <t>Q3</t>
  </si>
  <si>
    <t>Q4</t>
  </si>
  <si>
    <t>Q5</t>
  </si>
  <si>
    <t>Q6</t>
  </si>
  <si>
    <t xml:space="preserve"> </t>
  </si>
  <si>
    <t>Industry Results for Quarter 2</t>
  </si>
  <si>
    <t>Indicator</t>
  </si>
  <si>
    <t>Minimum</t>
  </si>
  <si>
    <t>Maximum</t>
  </si>
  <si>
    <t>Average</t>
  </si>
  <si>
    <t>FO Treads Bikes</t>
  </si>
  <si>
    <t>Total Performance</t>
  </si>
  <si>
    <t>Financial Performance</t>
  </si>
  <si>
    <t>Market Performance</t>
  </si>
  <si>
    <t>Marketing Effectiveness</t>
  </si>
  <si>
    <t>Investment in Future</t>
  </si>
  <si>
    <t>Wealth</t>
  </si>
  <si>
    <t>Human Resource Management</t>
  </si>
  <si>
    <t>Asset Management</t>
  </si>
  <si>
    <t>Manufacturing Productivity</t>
  </si>
  <si>
    <t>Financial Risk</t>
  </si>
  <si>
    <t>Reputation</t>
  </si>
  <si>
    <t>Industry Results for Quarter 3</t>
  </si>
  <si>
    <t>Industry Results for Quarter 4</t>
  </si>
  <si>
    <t>Industry Results for Quarter 5</t>
  </si>
  <si>
    <t>Industry Results for Quarter 6</t>
  </si>
  <si>
    <t>Data Dictionary</t>
  </si>
  <si>
    <t>Defintion</t>
  </si>
  <si>
    <t>Formula</t>
  </si>
  <si>
    <t>Total Performance = Financial Performance * Market Performance * Marketing Effectiveness * Investment in Future * Wealth * Human Resource Management * Asset Management * Manufacturing Productivity * Financial Risk * Reputation</t>
  </si>
  <si>
    <r>
      <rPr>
        <b/>
        <sz val="12"/>
        <color theme="1"/>
        <rFont val="Aptos Narrow"/>
        <scheme val="minor"/>
      </rPr>
      <t>Total Performance</t>
    </r>
    <r>
      <rPr>
        <sz val="12"/>
        <color theme="1"/>
        <rFont val="Aptos Narrow"/>
        <family val="2"/>
        <scheme val="minor"/>
      </rPr>
      <t xml:space="preserve">
The Total Business Performance indicator is a quantitative measure of the executive team's ability to effectively manage the resources of the firm. It considers both the historical performance of the firm as well as how well the firm is positioned to compete in the future. As such, it measures the action potential of the firm.
The index employs what is called a balanced scorecard to measure the executive team's performance. The most important measure is the team's financial performance, and thus its ability to sustain and grow the business and create wealth for the investors. However, the focus on current profits has caused many executives to stress the present at the expense of the future and to ignore all of its other stakeholders.
The long-term viability of the firm requires that the executive team be good at managing not only the firm's profitability, but also its marketing activities, production operations, human resources, cash, and financial resources. The management team must also invest in the future. And, it must satisfy the needs of the customers, provide rewarding employment for its workers, develop a strong supply chain, take care of the environment, and contribute to the community. These expenses might depress the current financial performance, but are vital to creating new products, markets, and manufacturing capabilities and building a strong reputation.
In short, top managers must be good at managing all aspects of the firm. The balanced scorecard puts this perspective into practice. It focuses attention on multiple performance measures, and thus multiple decision areas. None can be ignored or downplayed. The best managers will be strong in all areas measured.
The Total Business Performance measure is computed by multiplying several indicators of business performance. This model underscores the importance of all measures. This is because any strength or weakness will have multiple effects on the final outcome, the Action Potential of the Firm.
The following is a summary of the measure of the firm's Total Business Performance and its key performance indicators. The computational details follow. Note that a negative score in any of these indicators will result in a Total Performance of "0".</t>
    </r>
  </si>
  <si>
    <r>
      <rPr>
        <b/>
        <sz val="12"/>
        <color theme="1"/>
        <rFont val="Aptos Narrow"/>
        <scheme val="minor"/>
      </rPr>
      <t>Financial Performance</t>
    </r>
    <r>
      <rPr>
        <sz val="12"/>
        <color theme="1"/>
        <rFont val="Aptos Narrow"/>
        <family val="2"/>
        <scheme val="minor"/>
      </rPr>
      <t xml:space="preserve">
measures how well the executive team has been able to create profits for its shareholders. A positive number is always desired and the larger the better. It is computed in three steps.
First, a measure of the company's profitability is computed by taking the average of your gross profit and your net profit from operations.
The gross profit is the company's revenue minus the costs of making your products. It is computed by subtracting rebates and the cost of the goods sold from total revenues. Gross profit measures how efficiently you produce revenue.
The net profit from operations is computed by taking the operating profit shown in the income statement and adding back investments in the future that are expensed in the current quarter. It measures how well the managers are able to create revenue from the current quarter's marketing, sales and manufacturing activities. 
Note that the income statement also includes investments that will benefit your firm's future (referred to as 'Investment in Future' in the balanced scorecard). Because these expenses will help you to create new business opportunities, they are added back to the operating profit so that the financial performance measure is entirely focused on current quarter revenues and expenses. 
Second, the total number of shares of stock is computed by adding all forms of equity investment. If an emergency loan has been taken out, shares of stock will automatically be issued to the loan shark and they become a permanent part of the equity financing. 
Third, the average of your gross profit and your net profit from current operations is divided by the number of shares of stock issued to determine the profitability per share of stock.</t>
    </r>
  </si>
  <si>
    <t>Financial Performance = ( Net Profit from Current Operations + Gross Profit ) / 2 / Total Shares Issued</t>
  </si>
  <si>
    <r>
      <rPr>
        <b/>
        <sz val="12"/>
        <color theme="1"/>
        <rFont val="Aptos Narrow"/>
        <scheme val="minor"/>
      </rPr>
      <t>Market Performance</t>
    </r>
    <r>
      <rPr>
        <sz val="12"/>
        <color theme="1"/>
        <rFont val="Aptos Narrow"/>
        <family val="2"/>
        <scheme val="minor"/>
      </rPr>
      <t xml:space="preserve">
is a measure of how well the managers are able to create demand in their primary and secondary segments. The firm's market share in two target segments is used to measure this demand creation ability. The market share score is adjusted downwards if there were any stock-outs. This penalty for stock-outs is to underscore two points. First, unnecessary resources have been spent to generate more demand than can be satisfied. Second, ill will has been created by having potential customers become frustrated when they do not find the products that they have been persuaded to buy. The score ranges from 0 to 1.0 and will depend upon the number of competitors. If there are 3 firms, a good score would be greater than 0.5. If there are 8 teams, a good score would be greater than 0.35.
</t>
    </r>
  </si>
  <si>
    <t>Market Performance = ( Average Market Share in Targeted Segments / 100 ) * ( Percent of Demand Actually Served / 100 )</t>
  </si>
  <si>
    <r>
      <rPr>
        <b/>
        <sz val="12"/>
        <color theme="1"/>
        <rFont val="Aptos Narrow"/>
        <scheme val="minor"/>
      </rPr>
      <t>Marketing Effectiveness</t>
    </r>
    <r>
      <rPr>
        <sz val="12"/>
        <color theme="1"/>
        <rFont val="Aptos Narrow"/>
        <family val="2"/>
        <scheme val="minor"/>
      </rPr>
      <t xml:space="preserve">
is a measure of how well the managers have been able to satisfy the needs of the customers as measured by the quality of their brands and ads. Customer perceptions of the firm's brands and ads in its primary and secondary segments are used to measure customer satisfaction. The two scores are then averaged to obtain the indicator for marketing effectiveness. The score ranges from 0 to 1.0. A good score would be greater than 0.8.</t>
    </r>
  </si>
  <si>
    <t>Marketing Effectiveness = ( Average Brand Judgment / 100 + Average Ad Judgment / 100 ) / 2</t>
  </si>
  <si>
    <r>
      <rPr>
        <b/>
        <sz val="12"/>
        <color theme="1"/>
        <rFont val="Aptos Narrow"/>
        <scheme val="minor"/>
      </rPr>
      <t>Investment in Future</t>
    </r>
    <r>
      <rPr>
        <sz val="12"/>
        <color theme="1"/>
        <rFont val="Aptos Narrow"/>
        <family val="2"/>
        <scheme val="minor"/>
      </rPr>
      <t xml:space="preserve">
reflects the willingness of the executive team to spend current revenues on future business opportunities and goodwill. These investments are also the most tangible way to measure the executive team's allegiance to Conscious Capitalism.
Investments in the future are necessary for the long-term viability of the firm, but risky. In the short-term, these expenditures can cause large negative profits on the income statement. As a result, the retained earnings may become highly negative, thus indicating that a substantial portion of the stockholder's investment has disappeared into the operations of the firm. In the long-term, these investments are absolutely necessary if the firm is to thrive and be competitive. Thus, there is a need to balance the loss of stockholder's equity against investments that could create even greater returns for the investors in the future. The score is always greater or equal to 1.0 and a good score would be greater than 3.0.</t>
    </r>
  </si>
  <si>
    <t>Investment in Future = ( Cumulative Expenses that Benefit Firm's Future / Cumulative Net Revenues ) * 10 + 1</t>
  </si>
  <si>
    <r>
      <rPr>
        <b/>
        <sz val="12"/>
        <color theme="1"/>
        <rFont val="Aptos Narrow"/>
        <scheme val="minor"/>
      </rPr>
      <t>Wealth</t>
    </r>
    <r>
      <rPr>
        <sz val="12"/>
        <color theme="1"/>
        <rFont val="Aptos Narrow"/>
        <family val="2"/>
        <scheme val="minor"/>
      </rPr>
      <t xml:space="preserve">
is a measure of how well the executive team has been able to add wealth to the initial investments of the stockholders. During the start-up phase of the company, it is expected that expenses can exceed revenues leading to losses and retained earnings figures that are negative.
To compute the creation of wealth measure, the net equity of the firm is first computed by adding the retained earnings to the total of the investments from all of the stockholders. The retained earnings figure is the sum of all profits from the inception of the firm. As noted above, the retained earnings will be negative in the early quarters as the firm invests money to start up and grow the business.
Next, the net equity is divided by the total of all equity investments to obtain a ratio of wealth creation. A value of zero or less indicates bankruptcy. A value greater than zero and less than one indicates the executive team is relying upon the initial stockholder's investments to pay day-to-day expenses plus invest in the future. A value greater than one indicates the firm is adding wealth to the stockholders.</t>
    </r>
  </si>
  <si>
    <t>Wealth = Net Equity / Total Stockholders Equity</t>
  </si>
  <si>
    <r>
      <rPr>
        <b/>
        <sz val="12"/>
        <color theme="1"/>
        <rFont val="Aptos Narrow"/>
        <scheme val="minor"/>
      </rPr>
      <t>Human Resource Management</t>
    </r>
    <r>
      <rPr>
        <sz val="12"/>
        <color theme="1"/>
        <rFont val="Aptos Narrow"/>
        <family val="2"/>
        <scheme val="minor"/>
      </rPr>
      <t xml:space="preserve">
is a measure of how well the executive team is able to recruit the best employees, satisfy their needs and motivate them to excel. The measure is based upon employee satisfaction with compensation, employee turnover, and employee morale. The three values are averaged together to obtain a single score. The score ranges from zero to 1.00 and a good score would be greater than 0.80.
Employee satisfaction with the firm's compensation packages is measured by computing the average satisfaction for production supervisors, production workers, and sales force people. High performance is only possible if the firm's compensation packages are competitive and in tune with what is important to employees over time.
Employee turnover is a measure of the percent of production workers who quit or are fired. When workers leave for any reason, production productivity goes down and costs go up. The effect of employee turnover on human resources is computed by subtracting employee turnover from 100. The difference is a measure of employee retention, a number that should improve over time.
Employee morale is driven by how good the employees feel about the things they produce and the company for which they work. Morale will increase to the extent that the firm produces good quality products, has genuine concern for the employees, has integrity, and is a good corporate citizen.
</t>
    </r>
  </si>
  <si>
    <t>Human Resource Management = ( Employee Compensation Satisfaction / 100 + ( 100 - Employee Turnover ) / 100 + Employee Morale / 100 ) / 3</t>
  </si>
  <si>
    <r>
      <rPr>
        <b/>
        <sz val="12"/>
        <color theme="1"/>
        <rFont val="Aptos Narrow"/>
        <scheme val="minor"/>
      </rPr>
      <t>Asset Management</t>
    </r>
    <r>
      <rPr>
        <sz val="12"/>
        <color theme="1"/>
        <rFont val="Aptos Narrow"/>
        <family val="2"/>
        <scheme val="minor"/>
      </rPr>
      <t xml:space="preserve">
is a measure of the executive team's ability to use the firm's assets to create sales revenue. Asset management is measured by computing the asset turnover of the firm. Effective managers are able to use the assets to create sales which are at least equal to the value of the assets. Thus, a very good score would be 1.0.</t>
    </r>
  </si>
  <si>
    <t>Asset Management = Asset Turnover</t>
  </si>
  <si>
    <r>
      <rPr>
        <b/>
        <sz val="12"/>
        <color theme="1"/>
        <rFont val="Aptos Narrow"/>
        <scheme val="minor"/>
      </rPr>
      <t>Manufacturing Productivity</t>
    </r>
    <r>
      <rPr>
        <sz val="12"/>
        <color theme="1"/>
        <rFont val="Aptos Narrow"/>
        <family val="2"/>
        <scheme val="minor"/>
      </rPr>
      <t xml:space="preserve">
measures the executive team's ability to efficiently create reliable products.
Reliable products are a high priority of all customers and thus it is the first measure of manufacturing productivity. To achieve a reliable manufacturing process, the managers will have to invest money to study and then improve upon the production processes. It is a multi-step process that takes time and considerable resources as part of a system improvement program.
The second measure of productivity focuses the efficiency of production scheduling. Specifically, how much of the operating capacity is actually used in production versus that portion lost due to excess capacity.
Excess capacity costs occur when the production facility is scheduled to produce more units than is needed to meet demand. Good forecasting and production scheduling will reduce penalties for excess capacity.
The third measure of productivity is how much overtime is required to meet demand. Overtime indicates that the effective operating capacity was insufficient to meet demand. As a result, the employees had to work beyond the normal workday, resulting in additional fatigue and expense. The penalty is equal to one-half (50%) of the overtime required.
The score ranges from 0.0 to 1.0. A very good score would be 0.80.</t>
    </r>
  </si>
  <si>
    <t>Manufacturing Productivity = ( Reliability Judgment / 100 ) * ( ( Percent of Operating Capacity Used in Production / 100 ) - ( Overtime as Percent of Operating Capacity Used / 2 / 100 ) )</t>
  </si>
  <si>
    <r>
      <rPr>
        <b/>
        <sz val="12"/>
        <color theme="1"/>
        <rFont val="Aptos Narrow"/>
        <scheme val="minor"/>
      </rPr>
      <t>Financial Risk</t>
    </r>
    <r>
      <rPr>
        <sz val="12"/>
        <color theme="1"/>
        <rFont val="Aptos Narrow"/>
        <family val="2"/>
        <scheme val="minor"/>
      </rPr>
      <t xml:space="preserve">
measures the executive team's ability to manage debt as a financial resource. The financial risk indicator is based upon the degree to which debt is part of the capital of the firm. As debt increases relative to the total capital, then the financial risk associated with the company increases. Conversely, as the proportion of equity in the total capital increases, then the perceived financial risk in the firm decreases.
To compute financial risk, the proportion of equity is obtained by computing the amount of equity in the firm and dividing it by the amount of capital invested in the firm from all sources. Specifically, the amount of equity is equal to the sum of common stock plus retained earnings. The amount of capital is equal to the sum of debt plus common stock plus retained earnings. As the ratio of equity to capital decreases (meaning more debt), then financial risk increases.
A value of 1.00 would indicate there is no debt and, therefore, no perceived financial risk.
It is important to realize that financial managers do not want to totally discourage debt. The optimum capital structure will vary by firm depending on its tax situation, overall risk, asset base, and financial slack. Some debt may be desirable in order to help the firm take advantage of value enhancing business opportunities (i.e., opportunities that earn more than the company's weighted average cost of capital).
In order to mitigate or downplay the effect of low amounts of debt in the capital structure, the value for the share of equity in the company is raised to a power of 0.5 (square root). Thus, if debt represented 20% of the capital structure, then the Financial risk indicator would be 0.89 (0.80 ^ 0.5). If debt were 50% of the capital structure, the Financial Risk indicator would be 0.71.
A Financial Risk indicator below 0.80 (more than 36% debt) would be considered unfavorable.
</t>
    </r>
  </si>
  <si>
    <t>Financial Risk = ( Total Equity / Total Capital ) ^ 0.5</t>
  </si>
  <si>
    <r>
      <rPr>
        <b/>
        <sz val="12"/>
        <color theme="1"/>
        <rFont val="Aptos Narrow"/>
        <scheme val="minor"/>
      </rPr>
      <t>Reputation</t>
    </r>
    <r>
      <rPr>
        <sz val="12"/>
        <color theme="1"/>
        <rFont val="Aptos Narrow"/>
        <family val="2"/>
        <scheme val="minor"/>
      </rPr>
      <t xml:space="preserve">
reflects the amount of esteem that your firm has earned in the eyes of its stakeholders - that is its customers, employees, suppliers, investors, competitors and community. To be held in high esteem, your executive team must be reliable, credible, trustworthy and responsible. Being aware of how your company is perceived is important to generating goodwill and increasing sales. Stakeholder impressions can be colored by your firm's prominent brands and advertising; employee experiences; corporate success, productivity, and responsiveness; and a willingness to improve outdated systems and processes.
Your marketing research firm conducts a quarterly survey of your company's stakeholders to score your reputation. This is a subjectively determined measure ranging from 0 to 100. It takes time to develop a good reputation. Starting out in the 60s, a good score would be in the high 70s by the end of 6 quarters of business.
</t>
    </r>
  </si>
  <si>
    <t>Reputation = Reputation Score from the Stakeholder Survey / 100</t>
  </si>
  <si>
    <t>Average Q2</t>
  </si>
  <si>
    <t>Average Q3</t>
  </si>
  <si>
    <t>Average Q4</t>
  </si>
  <si>
    <t>Average Q5</t>
  </si>
  <si>
    <t>Average Q6</t>
  </si>
  <si>
    <t>FO Tread Bikes</t>
  </si>
  <si>
    <t>FO Tread Bikes  (Comparison Balanced Scorecard Q2 to Q6)</t>
  </si>
  <si>
    <t>Industry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</si>
</sst>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9" x14ac:knownFonts="1">
    <font>
      <sz val="12"/>
      <color theme="1"/>
      <name val="Aptos Narrow"/>
      <family val="2"/>
      <scheme val="minor"/>
    </font>
    <font>
      <b/>
      <sz val="12"/>
      <color theme="1"/>
      <name val="Aptos Narrow"/>
      <family val="2"/>
      <scheme val="minor"/>
    </font>
    <font>
      <b/>
      <sz val="13"/>
      <color rgb="FF000000"/>
      <name val="Calibri"/>
      <family val="2"/>
    </font>
    <font>
      <b/>
      <sz val="11"/>
      <color rgb="FF000000"/>
      <name val="Calibri"/>
      <family val="2"/>
    </font>
    <font>
      <sz val="11"/>
      <color rgb="FFFFFFFF"/>
      <name val="Calibri"/>
      <family val="2"/>
    </font>
    <font>
      <sz val="8"/>
      <name val="Aptos Narrow"/>
      <family val="2"/>
      <scheme val="minor"/>
    </font>
    <font>
      <b/>
      <sz val="12"/>
      <color theme="1"/>
      <name val="Aptos Narrow"/>
      <scheme val="minor"/>
    </font>
    <font>
      <sz val="12"/>
      <color theme="1"/>
      <name val="Aptos Narrow"/>
      <scheme val="minor"/>
    </font>
    <font>
      <b/>
      <sz val="14"/>
      <color theme="1"/>
      <name val="Aptos Narrow"/>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9">
    <xf numFmtId="0" fontId="0" fillId="0" borderId="0" xfId="0"/>
    <xf numFmtId="3" fontId="2" fillId="0" borderId="0" xfId="0" applyNumberFormat="1" applyFont="1" applyAlignment="1">
      <alignment horizontal="center" vertical="center"/>
    </xf>
    <xf numFmtId="3" fontId="0" fillId="0" borderId="0" xfId="0" applyNumberFormat="1" applyAlignment="1">
      <alignment horizontal="left" vertical="center"/>
    </xf>
    <xf numFmtId="3" fontId="4" fillId="0" borderId="0" xfId="0" applyNumberFormat="1" applyFont="1" applyAlignment="1">
      <alignment horizontal="left" vertical="center"/>
    </xf>
    <xf numFmtId="3" fontId="0" fillId="0" borderId="0" xfId="0" applyNumberFormat="1" applyAlignment="1">
      <alignment horizontal="right" vertical="center"/>
    </xf>
    <xf numFmtId="3" fontId="3" fillId="0" borderId="0" xfId="0" applyNumberFormat="1" applyFont="1" applyAlignment="1">
      <alignment horizontal="center" vertical="center"/>
    </xf>
    <xf numFmtId="164" fontId="0" fillId="0" borderId="0" xfId="0" applyNumberFormat="1" applyAlignment="1">
      <alignment horizontal="right" vertical="center"/>
    </xf>
    <xf numFmtId="164" fontId="0" fillId="0" borderId="0" xfId="0" applyNumberFormat="1" applyAlignment="1">
      <alignment horizontal="center" vertical="center"/>
    </xf>
    <xf numFmtId="0" fontId="1" fillId="0" borderId="0" xfId="0" applyFont="1" applyAlignment="1">
      <alignment horizontal="center"/>
    </xf>
    <xf numFmtId="3" fontId="2" fillId="0" borderId="0" xfId="0" applyNumberFormat="1" applyFont="1" applyAlignment="1">
      <alignment horizontal="center" vertical="center" wrapText="1"/>
    </xf>
    <xf numFmtId="0" fontId="0" fillId="0" borderId="0" xfId="0" applyAlignment="1">
      <alignment horizontal="center"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horizontal="left" vertical="top"/>
    </xf>
    <xf numFmtId="0" fontId="0" fillId="0" borderId="0" xfId="0" applyAlignment="1">
      <alignment horizontal="left" vertical="top"/>
    </xf>
    <xf numFmtId="0" fontId="7" fillId="0" borderId="0" xfId="0" applyFont="1" applyAlignment="1">
      <alignment horizontal="left" vertical="top" wrapText="1"/>
    </xf>
    <xf numFmtId="0" fontId="0" fillId="0" borderId="0" xfId="0" applyAlignment="1">
      <alignment vertical="center"/>
    </xf>
    <xf numFmtId="0" fontId="6" fillId="0" borderId="0" xfId="0" applyFont="1" applyAlignment="1">
      <alignment vertical="center"/>
    </xf>
    <xf numFmtId="0" fontId="8" fillId="0" borderId="0" xfId="0" applyFont="1" applyAlignment="1">
      <alignment horizontal="center" vertical="center"/>
    </xf>
  </cellXfs>
  <cellStyles count="1">
    <cellStyle name="Normal" xfId="0" builtinId="0"/>
  </cellStyles>
  <dxfs count="0"/>
  <tableStyles count="0" defaultTableStyle="TableStyleMedium2" defaultPivotStyle="PivotStyleLight16"/>
  <colors>
    <mruColors>
      <color rgb="FFBCC8DF"/>
      <color rgb="FF173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FO Tread</a:t>
            </a:r>
            <a:r>
              <a:rPr lang="en-US" b="1" baseline="0">
                <a:solidFill>
                  <a:schemeClr val="tx1"/>
                </a:solidFill>
              </a:rPr>
              <a:t> Bikes Comparison of </a:t>
            </a:r>
            <a:r>
              <a:rPr lang="en-US" b="1">
                <a:solidFill>
                  <a:schemeClr val="tx1"/>
                </a:solidFill>
              </a:rPr>
              <a:t>Total Performance Q2 to Q6</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Combined!$A$3</c:f>
              <c:strCache>
                <c:ptCount val="1"/>
                <c:pt idx="0">
                  <c:v>Total Performance</c:v>
                </c:pt>
              </c:strCache>
            </c:strRef>
          </c:tx>
          <c:spPr>
            <a:solidFill>
              <a:schemeClr val="accent1"/>
            </a:solidFill>
            <a:ln>
              <a:noFill/>
            </a:ln>
            <a:effectLst/>
          </c:spPr>
          <c:invertIfNegative val="0"/>
          <c:cat>
            <c:strRef>
              <c:f>Combined!$B$2:$F$2</c:f>
              <c:strCache>
                <c:ptCount val="5"/>
                <c:pt idx="0">
                  <c:v>Q2</c:v>
                </c:pt>
                <c:pt idx="1">
                  <c:v>Q3</c:v>
                </c:pt>
                <c:pt idx="2">
                  <c:v>Q4</c:v>
                </c:pt>
                <c:pt idx="3">
                  <c:v>Q5</c:v>
                </c:pt>
                <c:pt idx="4">
                  <c:v>Q6</c:v>
                </c:pt>
              </c:strCache>
            </c:strRef>
          </c:cat>
          <c:val>
            <c:numRef>
              <c:f>Combined!$B$3:$F$3</c:f>
              <c:numCache>
                <c:formatCode>#,##0.000</c:formatCode>
                <c:ptCount val="5"/>
                <c:pt idx="0">
                  <c:v>1.28165</c:v>
                </c:pt>
                <c:pt idx="1">
                  <c:v>1.70797</c:v>
                </c:pt>
                <c:pt idx="2">
                  <c:v>14.332509999999999</c:v>
                </c:pt>
                <c:pt idx="3">
                  <c:v>9.7509499999999996</c:v>
                </c:pt>
                <c:pt idx="4">
                  <c:v>12.48691</c:v>
                </c:pt>
              </c:numCache>
            </c:numRef>
          </c:val>
          <c:extLst>
            <c:ext xmlns:c16="http://schemas.microsoft.com/office/drawing/2014/chart" uri="{C3380CC4-5D6E-409C-BE32-E72D297353CC}">
              <c16:uniqueId val="{00000000-1EC6-CA43-8104-A0ABBBA6B482}"/>
            </c:ext>
          </c:extLst>
        </c:ser>
        <c:dLbls>
          <c:showLegendKey val="0"/>
          <c:showVal val="0"/>
          <c:showCatName val="0"/>
          <c:showSerName val="0"/>
          <c:showPercent val="0"/>
          <c:showBubbleSize val="0"/>
        </c:dLbls>
        <c:gapWidth val="219"/>
        <c:overlap val="-27"/>
        <c:axId val="1308936495"/>
        <c:axId val="1230948495"/>
      </c:barChart>
      <c:catAx>
        <c:axId val="1308936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230948495"/>
        <c:crosses val="autoZero"/>
        <c:auto val="1"/>
        <c:lblAlgn val="ctr"/>
        <c:lblOffset val="100"/>
        <c:noMultiLvlLbl val="0"/>
      </c:catAx>
      <c:valAx>
        <c:axId val="1230948495"/>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08936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Comparison of Total Performance to Industry Average Q2 -Q6</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'Total Performance '!$A$2</c:f>
              <c:strCache>
                <c:ptCount val="1"/>
                <c:pt idx="0">
                  <c:v>FO Tread Bikes</c:v>
                </c:pt>
              </c:strCache>
            </c:strRef>
          </c:tx>
          <c:spPr>
            <a:solidFill>
              <a:srgbClr val="17375E"/>
            </a:solidFill>
            <a:ln>
              <a:noFill/>
            </a:ln>
            <a:effectLst/>
          </c:spPr>
          <c:invertIfNegative val="0"/>
          <c:cat>
            <c:strRef>
              <c:f>'Total Performance '!$B$1:$F$1</c:f>
              <c:strCache>
                <c:ptCount val="5"/>
                <c:pt idx="0">
                  <c:v>Q2</c:v>
                </c:pt>
                <c:pt idx="1">
                  <c:v>Q3</c:v>
                </c:pt>
                <c:pt idx="2">
                  <c:v>Q4</c:v>
                </c:pt>
                <c:pt idx="3">
                  <c:v>Q5</c:v>
                </c:pt>
                <c:pt idx="4">
                  <c:v>Q6</c:v>
                </c:pt>
              </c:strCache>
            </c:strRef>
          </c:cat>
          <c:val>
            <c:numRef>
              <c:f>'Total Performance '!$B$2:$F$2</c:f>
              <c:numCache>
                <c:formatCode>#,##0.000</c:formatCode>
                <c:ptCount val="5"/>
                <c:pt idx="0">
                  <c:v>1.28165</c:v>
                </c:pt>
                <c:pt idx="1">
                  <c:v>1.70797</c:v>
                </c:pt>
                <c:pt idx="2">
                  <c:v>14.332509999999999</c:v>
                </c:pt>
                <c:pt idx="3">
                  <c:v>9.7509499999999996</c:v>
                </c:pt>
                <c:pt idx="4">
                  <c:v>12.48691</c:v>
                </c:pt>
              </c:numCache>
            </c:numRef>
          </c:val>
          <c:extLst>
            <c:ext xmlns:c16="http://schemas.microsoft.com/office/drawing/2014/chart" uri="{C3380CC4-5D6E-409C-BE32-E72D297353CC}">
              <c16:uniqueId val="{00000000-547E-1941-8B7E-15A427128287}"/>
            </c:ext>
          </c:extLst>
        </c:ser>
        <c:dLbls>
          <c:showLegendKey val="0"/>
          <c:showVal val="0"/>
          <c:showCatName val="0"/>
          <c:showSerName val="0"/>
          <c:showPercent val="0"/>
          <c:showBubbleSize val="0"/>
        </c:dLbls>
        <c:gapWidth val="150"/>
        <c:axId val="1629419439"/>
        <c:axId val="1650577631"/>
      </c:barChart>
      <c:lineChart>
        <c:grouping val="standard"/>
        <c:varyColors val="0"/>
        <c:ser>
          <c:idx val="1"/>
          <c:order val="1"/>
          <c:tx>
            <c:strRef>
              <c:f>'Total Performance '!$A$3</c:f>
              <c:strCache>
                <c:ptCount val="1"/>
                <c:pt idx="0">
                  <c:v>Industry Average</c:v>
                </c:pt>
              </c:strCache>
            </c:strRef>
          </c:tx>
          <c:spPr>
            <a:ln w="28575" cap="rnd">
              <a:solidFill>
                <a:srgbClr val="BCC8DF"/>
              </a:solidFill>
              <a:round/>
            </a:ln>
            <a:effectLst/>
          </c:spPr>
          <c:marker>
            <c:symbol val="none"/>
          </c:marker>
          <c:cat>
            <c:strRef>
              <c:f>'Total Performance '!$B$1:$F$1</c:f>
              <c:strCache>
                <c:ptCount val="5"/>
                <c:pt idx="0">
                  <c:v>Q2</c:v>
                </c:pt>
                <c:pt idx="1">
                  <c:v>Q3</c:v>
                </c:pt>
                <c:pt idx="2">
                  <c:v>Q4</c:v>
                </c:pt>
                <c:pt idx="3">
                  <c:v>Q5</c:v>
                </c:pt>
                <c:pt idx="4">
                  <c:v>Q6</c:v>
                </c:pt>
              </c:strCache>
            </c:strRef>
          </c:cat>
          <c:val>
            <c:numRef>
              <c:f>'Total Performance '!$B$3:$F$3</c:f>
              <c:numCache>
                <c:formatCode>#,##0.000</c:formatCode>
                <c:ptCount val="5"/>
                <c:pt idx="0">
                  <c:v>0.37281999999999998</c:v>
                </c:pt>
                <c:pt idx="1">
                  <c:v>1.368406</c:v>
                </c:pt>
                <c:pt idx="2">
                  <c:v>4.0050600000000003</c:v>
                </c:pt>
                <c:pt idx="3">
                  <c:v>11.08028</c:v>
                </c:pt>
                <c:pt idx="4">
                  <c:v>16.647387999999999</c:v>
                </c:pt>
              </c:numCache>
            </c:numRef>
          </c:val>
          <c:smooth val="0"/>
          <c:extLst>
            <c:ext xmlns:c16="http://schemas.microsoft.com/office/drawing/2014/chart" uri="{C3380CC4-5D6E-409C-BE32-E72D297353CC}">
              <c16:uniqueId val="{00000001-547E-1941-8B7E-15A427128287}"/>
            </c:ext>
          </c:extLst>
        </c:ser>
        <c:dLbls>
          <c:showLegendKey val="0"/>
          <c:showVal val="0"/>
          <c:showCatName val="0"/>
          <c:showSerName val="0"/>
          <c:showPercent val="0"/>
          <c:showBubbleSize val="0"/>
        </c:dLbls>
        <c:marker val="1"/>
        <c:smooth val="0"/>
        <c:axId val="1629419439"/>
        <c:axId val="1650577631"/>
      </c:lineChart>
      <c:catAx>
        <c:axId val="1629419439"/>
        <c:scaling>
          <c:orientation val="minMax"/>
        </c:scaling>
        <c:delete val="0"/>
        <c:axPos val="b"/>
        <c:title>
          <c:tx>
            <c:rich>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r>
                  <a:rPr lang="en-US" sz="1100" b="1">
                    <a:solidFill>
                      <a:schemeClr val="tx1"/>
                    </a:solidFill>
                  </a:rPr>
                  <a:t>Quarter</a:t>
                </a:r>
              </a:p>
            </c:rich>
          </c:tx>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50577631"/>
        <c:crosses val="autoZero"/>
        <c:auto val="1"/>
        <c:lblAlgn val="ctr"/>
        <c:lblOffset val="100"/>
        <c:noMultiLvlLbl val="0"/>
      </c:catAx>
      <c:valAx>
        <c:axId val="1650577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solidFill>
                    <a:latin typeface="+mn-lt"/>
                    <a:ea typeface="+mn-ea"/>
                    <a:cs typeface="+mn-cs"/>
                  </a:defRPr>
                </a:pPr>
                <a:r>
                  <a:rPr lang="en-US" sz="1100" b="1">
                    <a:solidFill>
                      <a:schemeClr val="tx1"/>
                    </a:solidFill>
                  </a:rPr>
                  <a:t>Total</a:t>
                </a:r>
                <a:r>
                  <a:rPr lang="en-US" sz="1100" b="1" baseline="0">
                    <a:solidFill>
                      <a:schemeClr val="tx1"/>
                    </a:solidFill>
                  </a:rPr>
                  <a:t> Performance</a:t>
                </a:r>
                <a:endParaRPr lang="en-US" sz="1100" b="1">
                  <a:solidFill>
                    <a:schemeClr val="tx1"/>
                  </a:solidFill>
                </a:endParaRP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294194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635000</xdr:colOff>
      <xdr:row>16</xdr:row>
      <xdr:rowOff>114300</xdr:rowOff>
    </xdr:from>
    <xdr:to>
      <xdr:col>12</xdr:col>
      <xdr:colOff>342900</xdr:colOff>
      <xdr:row>35</xdr:row>
      <xdr:rowOff>177800</xdr:rowOff>
    </xdr:to>
    <xdr:graphicFrame macro="">
      <xdr:nvGraphicFramePr>
        <xdr:cNvPr id="2" name="Chart 1">
          <a:extLst>
            <a:ext uri="{FF2B5EF4-FFF2-40B4-BE49-F238E27FC236}">
              <a16:creationId xmlns:a16="http://schemas.microsoft.com/office/drawing/2014/main" id="{4B8621BB-372C-C793-157F-F6BAAB15D4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393700</xdr:colOff>
      <xdr:row>7</xdr:row>
      <xdr:rowOff>88900</xdr:rowOff>
    </xdr:from>
    <xdr:to>
      <xdr:col>16</xdr:col>
      <xdr:colOff>368300</xdr:colOff>
      <xdr:row>34</xdr:row>
      <xdr:rowOff>0</xdr:rowOff>
    </xdr:to>
    <xdr:graphicFrame macro="">
      <xdr:nvGraphicFramePr>
        <xdr:cNvPr id="2" name="Chart 1">
          <a:extLst>
            <a:ext uri="{FF2B5EF4-FFF2-40B4-BE49-F238E27FC236}">
              <a16:creationId xmlns:a16="http://schemas.microsoft.com/office/drawing/2014/main" id="{B14D32C1-07C2-C9CD-07D5-8C6FD4DC9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10A76-60D4-E647-B1A2-C65620E2F97C}">
  <dimension ref="A1:D13"/>
  <sheetViews>
    <sheetView workbookViewId="0">
      <selection activeCell="E7" sqref="E7"/>
    </sheetView>
  </sheetViews>
  <sheetFormatPr baseColWidth="10" defaultRowHeight="16" x14ac:dyDescent="0.2"/>
  <cols>
    <col min="1" max="1" width="30.33203125" style="13" customWidth="1"/>
    <col min="2" max="2" width="95.5" customWidth="1"/>
    <col min="3" max="3" width="30" customWidth="1"/>
  </cols>
  <sheetData>
    <row r="1" spans="1:4" x14ac:dyDescent="0.2">
      <c r="A1" s="13" t="s">
        <v>28</v>
      </c>
    </row>
    <row r="2" spans="1:4" s="10" customFormat="1" ht="25" customHeight="1" x14ac:dyDescent="0.2">
      <c r="A2" s="12" t="s">
        <v>8</v>
      </c>
      <c r="B2" s="11" t="s">
        <v>29</v>
      </c>
      <c r="C2" s="11" t="s">
        <v>30</v>
      </c>
    </row>
    <row r="3" spans="1:4" ht="39" customHeight="1" x14ac:dyDescent="0.2">
      <c r="A3" s="13" t="s">
        <v>13</v>
      </c>
      <c r="B3" s="15" t="s">
        <v>32</v>
      </c>
      <c r="C3" s="14" t="s">
        <v>31</v>
      </c>
      <c r="D3" t="s">
        <v>6</v>
      </c>
    </row>
    <row r="4" spans="1:4" ht="47" customHeight="1" x14ac:dyDescent="0.2">
      <c r="A4" s="13" t="s">
        <v>14</v>
      </c>
      <c r="B4" s="15" t="s">
        <v>33</v>
      </c>
      <c r="C4" s="14" t="s">
        <v>34</v>
      </c>
      <c r="D4" t="s">
        <v>6</v>
      </c>
    </row>
    <row r="5" spans="1:4" ht="52" customHeight="1" x14ac:dyDescent="0.2">
      <c r="A5" s="13" t="s">
        <v>15</v>
      </c>
      <c r="B5" s="15" t="s">
        <v>35</v>
      </c>
      <c r="C5" s="14" t="s">
        <v>36</v>
      </c>
      <c r="D5" t="s">
        <v>6</v>
      </c>
    </row>
    <row r="6" spans="1:4" ht="46" customHeight="1" x14ac:dyDescent="0.2">
      <c r="A6" s="13" t="s">
        <v>16</v>
      </c>
      <c r="B6" s="15" t="s">
        <v>37</v>
      </c>
      <c r="C6" s="14" t="s">
        <v>38</v>
      </c>
      <c r="D6" t="s">
        <v>6</v>
      </c>
    </row>
    <row r="7" spans="1:4" ht="44" customHeight="1" x14ac:dyDescent="0.2">
      <c r="A7" s="13" t="s">
        <v>17</v>
      </c>
      <c r="B7" s="15" t="s">
        <v>39</v>
      </c>
      <c r="C7" s="14" t="s">
        <v>40</v>
      </c>
      <c r="D7" t="s">
        <v>6</v>
      </c>
    </row>
    <row r="8" spans="1:4" ht="58" customHeight="1" x14ac:dyDescent="0.2">
      <c r="A8" s="13" t="s">
        <v>18</v>
      </c>
      <c r="B8" s="15" t="s">
        <v>41</v>
      </c>
      <c r="C8" s="14" t="s">
        <v>42</v>
      </c>
      <c r="D8" t="s">
        <v>6</v>
      </c>
    </row>
    <row r="9" spans="1:4" ht="44" customHeight="1" x14ac:dyDescent="0.2">
      <c r="A9" s="13" t="s">
        <v>19</v>
      </c>
      <c r="B9" s="15" t="s">
        <v>43</v>
      </c>
      <c r="C9" s="14" t="s">
        <v>44</v>
      </c>
      <c r="D9" t="s">
        <v>6</v>
      </c>
    </row>
    <row r="10" spans="1:4" ht="45" customHeight="1" x14ac:dyDescent="0.2">
      <c r="A10" s="13" t="s">
        <v>20</v>
      </c>
      <c r="B10" s="15" t="s">
        <v>45</v>
      </c>
      <c r="C10" s="14" t="s">
        <v>46</v>
      </c>
    </row>
    <row r="11" spans="1:4" ht="44" customHeight="1" x14ac:dyDescent="0.2">
      <c r="A11" s="13" t="s">
        <v>21</v>
      </c>
      <c r="B11" s="15" t="s">
        <v>47</v>
      </c>
      <c r="C11" s="14" t="s">
        <v>48</v>
      </c>
      <c r="D11" t="s">
        <v>6</v>
      </c>
    </row>
    <row r="12" spans="1:4" ht="42" customHeight="1" x14ac:dyDescent="0.2">
      <c r="A12" s="13" t="s">
        <v>22</v>
      </c>
      <c r="B12" s="15" t="s">
        <v>49</v>
      </c>
      <c r="C12" s="14" t="s">
        <v>50</v>
      </c>
      <c r="D12" t="s">
        <v>6</v>
      </c>
    </row>
    <row r="13" spans="1:4" ht="37" customHeight="1" x14ac:dyDescent="0.2">
      <c r="A13" s="13" t="s">
        <v>23</v>
      </c>
      <c r="B13" s="15" t="s">
        <v>51</v>
      </c>
      <c r="C13" s="14" t="s">
        <v>52</v>
      </c>
      <c r="D13" t="s">
        <v>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03279-B734-014C-BAF5-7DBDF3D10E56}">
  <dimension ref="A1:K13"/>
  <sheetViews>
    <sheetView topLeftCell="A6" workbookViewId="0">
      <selection activeCell="A37" sqref="A37"/>
    </sheetView>
  </sheetViews>
  <sheetFormatPr baseColWidth="10" defaultRowHeight="16" x14ac:dyDescent="0.2"/>
  <cols>
    <col min="1" max="1" width="39.33203125" customWidth="1"/>
    <col min="2" max="7" width="16.33203125" customWidth="1"/>
  </cols>
  <sheetData>
    <row r="1" spans="1:11" ht="36" customHeight="1" x14ac:dyDescent="0.2">
      <c r="A1" s="9"/>
      <c r="B1" s="18" t="s">
        <v>59</v>
      </c>
      <c r="C1" s="18"/>
      <c r="D1" s="18"/>
      <c r="E1" s="18"/>
      <c r="F1" s="18"/>
      <c r="G1" s="18" t="s">
        <v>60</v>
      </c>
      <c r="H1" s="18"/>
      <c r="I1" s="18"/>
      <c r="J1" s="18"/>
      <c r="K1" s="18"/>
    </row>
    <row r="2" spans="1:11" x14ac:dyDescent="0.2">
      <c r="A2" s="5" t="s">
        <v>8</v>
      </c>
      <c r="B2" s="5" t="s">
        <v>1</v>
      </c>
      <c r="C2" s="8" t="s">
        <v>2</v>
      </c>
      <c r="D2" s="5" t="s">
        <v>3</v>
      </c>
      <c r="E2" s="8" t="s">
        <v>4</v>
      </c>
      <c r="F2" s="5" t="s">
        <v>5</v>
      </c>
      <c r="G2" s="8" t="s">
        <v>53</v>
      </c>
      <c r="H2" s="8" t="s">
        <v>54</v>
      </c>
      <c r="I2" s="8" t="s">
        <v>55</v>
      </c>
      <c r="J2" s="8" t="s">
        <v>56</v>
      </c>
      <c r="K2" s="8" t="s">
        <v>57</v>
      </c>
    </row>
    <row r="3" spans="1:11" x14ac:dyDescent="0.2">
      <c r="A3" s="2" t="s">
        <v>13</v>
      </c>
      <c r="B3" s="7">
        <v>1.28165</v>
      </c>
      <c r="C3" s="7">
        <v>1.70797</v>
      </c>
      <c r="D3" s="7">
        <v>14.332509999999999</v>
      </c>
      <c r="E3" s="7">
        <v>9.7509499999999996</v>
      </c>
      <c r="F3" s="7">
        <v>12.48691</v>
      </c>
      <c r="G3" s="6">
        <v>0.37281999999999998</v>
      </c>
      <c r="H3" s="6">
        <v>1.368406</v>
      </c>
      <c r="I3" s="6">
        <v>4.0050600000000003</v>
      </c>
      <c r="J3" s="6">
        <v>11.08028</v>
      </c>
      <c r="K3" s="6">
        <v>16.647387999999999</v>
      </c>
    </row>
    <row r="4" spans="1:11" x14ac:dyDescent="0.2">
      <c r="A4" s="2" t="s">
        <v>14</v>
      </c>
      <c r="B4" s="7">
        <v>8.6260399999999997</v>
      </c>
      <c r="C4" s="7">
        <v>19.747810000000001</v>
      </c>
      <c r="D4" s="7">
        <v>40.792270000000002</v>
      </c>
      <c r="E4" s="7">
        <v>48.282730000000001</v>
      </c>
      <c r="F4" s="7">
        <v>47.20147</v>
      </c>
      <c r="G4" s="6">
        <v>2.0684499999999999</v>
      </c>
      <c r="H4" s="6">
        <v>11.15399</v>
      </c>
      <c r="I4" s="6">
        <v>16.945874</v>
      </c>
      <c r="J4" s="6">
        <v>39.882356000000001</v>
      </c>
      <c r="K4" s="6">
        <v>60.846381999999998</v>
      </c>
    </row>
    <row r="5" spans="1:11" x14ac:dyDescent="0.2">
      <c r="A5" s="2" t="s">
        <v>15</v>
      </c>
      <c r="B5" s="7">
        <v>0.30213000000000001</v>
      </c>
      <c r="C5" s="7">
        <v>0.215</v>
      </c>
      <c r="D5" s="7">
        <v>0.23149</v>
      </c>
      <c r="E5" s="7">
        <v>0.11119999999999999</v>
      </c>
      <c r="F5" s="7">
        <v>9.912E-2</v>
      </c>
      <c r="G5" s="6">
        <v>0.21595800000000001</v>
      </c>
      <c r="H5" s="6">
        <v>0.23145399999999999</v>
      </c>
      <c r="I5" s="6">
        <v>0.16170599999999999</v>
      </c>
      <c r="J5" s="6">
        <v>0.15676399999999999</v>
      </c>
      <c r="K5" s="6">
        <v>0.120004</v>
      </c>
    </row>
    <row r="6" spans="1:11" x14ac:dyDescent="0.2">
      <c r="A6" s="2" t="s">
        <v>16</v>
      </c>
      <c r="B6" s="7">
        <v>0.71250000000000002</v>
      </c>
      <c r="C6" s="7">
        <v>0.67</v>
      </c>
      <c r="D6" s="7">
        <v>0.71499999999999997</v>
      </c>
      <c r="E6" s="7">
        <v>0.73250000000000004</v>
      </c>
      <c r="F6" s="7">
        <v>0.83250000000000002</v>
      </c>
      <c r="G6" s="6">
        <v>0.69</v>
      </c>
      <c r="H6" s="6">
        <v>0.70099999999999996</v>
      </c>
      <c r="I6" s="6">
        <v>0.71099999999999997</v>
      </c>
      <c r="J6" s="6">
        <v>0.77800000000000002</v>
      </c>
      <c r="K6" s="6">
        <v>0.83750000000000002</v>
      </c>
    </row>
    <row r="7" spans="1:11" x14ac:dyDescent="0.2">
      <c r="A7" s="2" t="s">
        <v>17</v>
      </c>
      <c r="B7" s="7">
        <v>12.04355</v>
      </c>
      <c r="C7" s="7">
        <v>6.9788100000000002</v>
      </c>
      <c r="D7" s="7">
        <v>8.4013600000000004</v>
      </c>
      <c r="E7" s="7">
        <v>5.9351599999999998</v>
      </c>
      <c r="F7" s="7">
        <v>6.3853</v>
      </c>
      <c r="G7" s="6">
        <v>20.801918000000001</v>
      </c>
      <c r="H7" s="6">
        <v>8.91479</v>
      </c>
      <c r="I7" s="6">
        <v>13.776152</v>
      </c>
      <c r="J7" s="6">
        <v>7.2254300000000002</v>
      </c>
      <c r="K7" s="6">
        <v>5.013706</v>
      </c>
    </row>
    <row r="8" spans="1:11" x14ac:dyDescent="0.2">
      <c r="A8" s="2" t="s">
        <v>18</v>
      </c>
      <c r="B8" s="7">
        <v>0.75632999999999995</v>
      </c>
      <c r="C8" s="7">
        <v>0.79318</v>
      </c>
      <c r="D8" s="7">
        <v>0.70035000000000003</v>
      </c>
      <c r="E8" s="7">
        <v>0.91918999999999995</v>
      </c>
      <c r="F8" s="7">
        <v>0.71316000000000002</v>
      </c>
      <c r="G8" s="6">
        <v>0.788134</v>
      </c>
      <c r="H8" s="6">
        <v>0.77362399999999998</v>
      </c>
      <c r="I8" s="6">
        <v>0.55544199999999999</v>
      </c>
      <c r="J8" s="6">
        <v>0.69210000000000005</v>
      </c>
      <c r="K8" s="6">
        <v>0.96283399999999997</v>
      </c>
    </row>
    <row r="9" spans="1:11" x14ac:dyDescent="0.2">
      <c r="A9" s="2" t="s">
        <v>19</v>
      </c>
      <c r="B9" s="7">
        <v>0.56955999999999996</v>
      </c>
      <c r="C9" s="7">
        <v>0.69091999999999998</v>
      </c>
      <c r="D9" s="7">
        <v>0.78069</v>
      </c>
      <c r="E9" s="7">
        <v>0.85202</v>
      </c>
      <c r="F9" s="7">
        <v>0.89424000000000003</v>
      </c>
      <c r="G9" s="6">
        <v>0.66540600000000005</v>
      </c>
      <c r="H9" s="6">
        <v>0.70128400000000002</v>
      </c>
      <c r="I9" s="6">
        <v>0.77208200000000005</v>
      </c>
      <c r="J9" s="6">
        <v>0.83048999999999995</v>
      </c>
      <c r="K9" s="6">
        <v>0.87990599999999997</v>
      </c>
    </row>
    <row r="10" spans="1:11" x14ac:dyDescent="0.2">
      <c r="A10" s="2" t="s">
        <v>20</v>
      </c>
      <c r="B10" s="7">
        <v>0.3301</v>
      </c>
      <c r="C10" s="7">
        <v>0.4919</v>
      </c>
      <c r="D10" s="7">
        <v>0.96831999999999996</v>
      </c>
      <c r="E10" s="7">
        <v>0.92552999999999996</v>
      </c>
      <c r="F10" s="7">
        <v>1.26264</v>
      </c>
      <c r="G10" s="6">
        <v>0.16619800000000001</v>
      </c>
      <c r="H10" s="6">
        <v>0.35735600000000001</v>
      </c>
      <c r="I10" s="6">
        <v>0.59745800000000004</v>
      </c>
      <c r="J10" s="6">
        <v>1.0696220000000001</v>
      </c>
      <c r="K10" s="6">
        <v>1.162836</v>
      </c>
    </row>
    <row r="11" spans="1:11" x14ac:dyDescent="0.2">
      <c r="A11" s="2" t="s">
        <v>21</v>
      </c>
      <c r="B11" s="7">
        <v>0.68437000000000003</v>
      </c>
      <c r="C11" s="7">
        <v>0.52864999999999995</v>
      </c>
      <c r="D11" s="7">
        <v>0.72187999999999997</v>
      </c>
      <c r="E11" s="7">
        <v>0.76875000000000004</v>
      </c>
      <c r="F11" s="7">
        <v>0.80625000000000002</v>
      </c>
      <c r="G11" s="6">
        <v>0.51317999999999997</v>
      </c>
      <c r="H11" s="6">
        <v>0.59764399999999995</v>
      </c>
      <c r="I11" s="6">
        <v>0.54276000000000002</v>
      </c>
      <c r="J11" s="6">
        <v>0.71600799999999998</v>
      </c>
      <c r="K11" s="6">
        <v>0.75589799999999996</v>
      </c>
    </row>
    <row r="12" spans="1:11" x14ac:dyDescent="0.2">
      <c r="A12" s="2" t="s">
        <v>22</v>
      </c>
      <c r="B12" s="7">
        <v>1</v>
      </c>
      <c r="C12" s="7">
        <v>1</v>
      </c>
      <c r="D12" s="7">
        <v>1</v>
      </c>
      <c r="E12" s="7">
        <v>1</v>
      </c>
      <c r="F12" s="7">
        <v>1</v>
      </c>
      <c r="G12" s="6">
        <v>1</v>
      </c>
      <c r="H12" s="6">
        <v>1</v>
      </c>
      <c r="I12" s="6">
        <v>1</v>
      </c>
      <c r="J12" s="6">
        <v>1</v>
      </c>
      <c r="K12" s="6">
        <v>1</v>
      </c>
    </row>
    <row r="13" spans="1:11" x14ac:dyDescent="0.2">
      <c r="A13" s="2" t="s">
        <v>23</v>
      </c>
      <c r="B13" s="7">
        <v>0.58887999999999996</v>
      </c>
      <c r="C13" s="7">
        <v>0.60370000000000001</v>
      </c>
      <c r="D13" s="7">
        <v>0.66113</v>
      </c>
      <c r="E13" s="7">
        <v>0.74965999999999999</v>
      </c>
      <c r="F13" s="7">
        <v>0.77339000000000002</v>
      </c>
      <c r="G13" s="6">
        <v>0.61827600000000005</v>
      </c>
      <c r="H13" s="6">
        <v>0.63200400000000001</v>
      </c>
      <c r="I13" s="6">
        <v>0.63592199999999999</v>
      </c>
      <c r="J13" s="6">
        <v>0.71460400000000002</v>
      </c>
      <c r="K13" s="6">
        <v>0.72264799999999996</v>
      </c>
    </row>
  </sheetData>
  <mergeCells count="2">
    <mergeCell ref="B1:F1"/>
    <mergeCell ref="G1:K1"/>
  </mergeCells>
  <phoneticPr fontId="5"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326F-C01F-F543-A020-899BC038FED9}">
  <dimension ref="A1:F3"/>
  <sheetViews>
    <sheetView tabSelected="1" workbookViewId="0">
      <selection activeCell="F17" sqref="F17"/>
    </sheetView>
  </sheetViews>
  <sheetFormatPr baseColWidth="10" defaultRowHeight="16" x14ac:dyDescent="0.2"/>
  <cols>
    <col min="1" max="1" width="27.5" customWidth="1"/>
  </cols>
  <sheetData>
    <row r="1" spans="1:6" x14ac:dyDescent="0.2">
      <c r="A1" s="17" t="s">
        <v>13</v>
      </c>
      <c r="B1" s="11" t="s">
        <v>1</v>
      </c>
      <c r="C1" s="11" t="s">
        <v>2</v>
      </c>
      <c r="D1" s="11" t="s">
        <v>3</v>
      </c>
      <c r="E1" s="11" t="s">
        <v>4</v>
      </c>
      <c r="F1" s="11" t="s">
        <v>5</v>
      </c>
    </row>
    <row r="2" spans="1:6" x14ac:dyDescent="0.2">
      <c r="A2" s="16" t="s">
        <v>58</v>
      </c>
      <c r="B2" s="7">
        <v>1.28165</v>
      </c>
      <c r="C2" s="7">
        <v>1.70797</v>
      </c>
      <c r="D2" s="7">
        <v>14.332509999999999</v>
      </c>
      <c r="E2" s="7">
        <v>9.7509499999999996</v>
      </c>
      <c r="F2" s="7">
        <v>12.48691</v>
      </c>
    </row>
    <row r="3" spans="1:6" x14ac:dyDescent="0.2">
      <c r="A3" s="16" t="s">
        <v>60</v>
      </c>
      <c r="B3" s="7">
        <v>0.37281999999999998</v>
      </c>
      <c r="C3" s="7">
        <v>1.368406</v>
      </c>
      <c r="D3" s="7">
        <v>4.0050600000000003</v>
      </c>
      <c r="E3" s="7">
        <v>11.08028</v>
      </c>
      <c r="F3" s="7">
        <v>16.647387999999999</v>
      </c>
    </row>
  </sheetData>
  <phoneticPr fontId="5"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A0B8-C740-B446-AD0F-5A971E9085C2}">
  <dimension ref="A1:E14"/>
  <sheetViews>
    <sheetView workbookViewId="0">
      <selection activeCell="C29" sqref="C29"/>
    </sheetView>
  </sheetViews>
  <sheetFormatPr baseColWidth="10" defaultRowHeight="16" x14ac:dyDescent="0.2"/>
  <cols>
    <col min="1" max="1" width="42.33203125" customWidth="1"/>
    <col min="5" max="5" width="19.33203125" customWidth="1"/>
  </cols>
  <sheetData>
    <row r="1" spans="1:5" ht="17" x14ac:dyDescent="0.2">
      <c r="A1" s="1" t="s">
        <v>7</v>
      </c>
      <c r="B1" s="4"/>
      <c r="C1" s="4"/>
      <c r="D1" s="4"/>
      <c r="E1" s="4"/>
    </row>
    <row r="2" spans="1:5" x14ac:dyDescent="0.2">
      <c r="A2" s="5" t="s">
        <v>8</v>
      </c>
      <c r="B2" s="5" t="s">
        <v>9</v>
      </c>
      <c r="C2" s="5" t="s">
        <v>10</v>
      </c>
      <c r="D2" s="5" t="s">
        <v>11</v>
      </c>
      <c r="E2" s="5" t="s">
        <v>12</v>
      </c>
    </row>
    <row r="3" spans="1:5" x14ac:dyDescent="0.2">
      <c r="A3" s="2" t="s">
        <v>13</v>
      </c>
      <c r="B3" s="6">
        <v>0</v>
      </c>
      <c r="C3" s="6">
        <v>1.28165</v>
      </c>
      <c r="D3" s="6">
        <v>0.37281999999999998</v>
      </c>
      <c r="E3" s="6">
        <v>1.28165</v>
      </c>
    </row>
    <row r="4" spans="1:5" x14ac:dyDescent="0.2">
      <c r="A4" s="2" t="s">
        <v>14</v>
      </c>
      <c r="B4" s="6">
        <v>-4.34239</v>
      </c>
      <c r="C4" s="6">
        <v>8.6260399999999997</v>
      </c>
      <c r="D4" s="6">
        <v>2.0684499999999999</v>
      </c>
      <c r="E4" s="6">
        <v>8.6260399999999997</v>
      </c>
    </row>
    <row r="5" spans="1:5" x14ac:dyDescent="0.2">
      <c r="A5" s="2" t="s">
        <v>15</v>
      </c>
      <c r="B5" s="6">
        <v>0.04</v>
      </c>
      <c r="C5" s="6">
        <v>0.30499999999999999</v>
      </c>
      <c r="D5" s="6">
        <v>0.21595800000000001</v>
      </c>
      <c r="E5" s="6">
        <v>0.30213000000000001</v>
      </c>
    </row>
    <row r="6" spans="1:5" x14ac:dyDescent="0.2">
      <c r="A6" s="2" t="s">
        <v>16</v>
      </c>
      <c r="B6" s="6">
        <v>0.65</v>
      </c>
      <c r="C6" s="6">
        <v>0.72750000000000004</v>
      </c>
      <c r="D6" s="6">
        <v>0.69</v>
      </c>
      <c r="E6" s="6">
        <v>0.71250000000000002</v>
      </c>
    </row>
    <row r="7" spans="1:5" x14ac:dyDescent="0.2">
      <c r="A7" s="2" t="s">
        <v>17</v>
      </c>
      <c r="B7" s="6">
        <v>12.04355</v>
      </c>
      <c r="C7" s="6">
        <v>45.234450000000002</v>
      </c>
      <c r="D7" s="6">
        <v>20.801918000000001</v>
      </c>
      <c r="E7" s="6">
        <v>12.04355</v>
      </c>
    </row>
    <row r="8" spans="1:5" x14ac:dyDescent="0.2">
      <c r="A8" s="2" t="s">
        <v>18</v>
      </c>
      <c r="B8" s="6">
        <v>0.74378</v>
      </c>
      <c r="C8" s="6">
        <v>0.84577999999999998</v>
      </c>
      <c r="D8" s="6">
        <v>0.788134</v>
      </c>
      <c r="E8" s="6">
        <v>0.75632999999999995</v>
      </c>
    </row>
    <row r="9" spans="1:5" x14ac:dyDescent="0.2">
      <c r="A9" s="2" t="s">
        <v>19</v>
      </c>
      <c r="B9" s="6">
        <v>0.56955999999999996</v>
      </c>
      <c r="C9" s="6">
        <v>0.70252000000000003</v>
      </c>
      <c r="D9" s="6">
        <v>0.66540600000000005</v>
      </c>
      <c r="E9" s="6">
        <v>0.56955999999999996</v>
      </c>
    </row>
    <row r="10" spans="1:5" x14ac:dyDescent="0.2">
      <c r="A10" s="2" t="s">
        <v>20</v>
      </c>
      <c r="B10" s="6">
        <v>5.0819999999999997E-2</v>
      </c>
      <c r="C10" s="6">
        <v>0.3301</v>
      </c>
      <c r="D10" s="6">
        <v>0.16619800000000001</v>
      </c>
      <c r="E10" s="6">
        <v>0.3301</v>
      </c>
    </row>
    <row r="11" spans="1:5" x14ac:dyDescent="0.2">
      <c r="A11" s="2" t="s">
        <v>21</v>
      </c>
      <c r="B11" s="6">
        <v>9.9250000000000005E-2</v>
      </c>
      <c r="C11" s="6">
        <v>0.71406999999999998</v>
      </c>
      <c r="D11" s="6">
        <v>0.51317999999999997</v>
      </c>
      <c r="E11" s="6">
        <v>0.68437000000000003</v>
      </c>
    </row>
    <row r="12" spans="1:5" x14ac:dyDescent="0.2">
      <c r="A12" s="2" t="s">
        <v>22</v>
      </c>
      <c r="B12" s="6">
        <v>1</v>
      </c>
      <c r="C12" s="6">
        <v>1</v>
      </c>
      <c r="D12" s="6">
        <v>1</v>
      </c>
      <c r="E12" s="6">
        <v>1</v>
      </c>
    </row>
    <row r="13" spans="1:5" x14ac:dyDescent="0.2">
      <c r="A13" s="2" t="s">
        <v>23</v>
      </c>
      <c r="B13" s="6">
        <v>0.58887999999999996</v>
      </c>
      <c r="C13" s="6">
        <v>0.63902000000000003</v>
      </c>
      <c r="D13" s="6">
        <v>0.61827600000000005</v>
      </c>
      <c r="E13" s="6">
        <v>0.58887999999999996</v>
      </c>
    </row>
    <row r="14" spans="1:5" x14ac:dyDescent="0.2">
      <c r="A14" s="3" t="s">
        <v>0</v>
      </c>
      <c r="B14" s="4"/>
      <c r="C14" s="4"/>
      <c r="D14" s="4"/>
      <c r="E14" s="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98493-331F-3E4C-9473-E2D35D053F30}">
  <dimension ref="A1:E13"/>
  <sheetViews>
    <sheetView workbookViewId="0">
      <selection activeCell="D3" sqref="D3:D13"/>
    </sheetView>
  </sheetViews>
  <sheetFormatPr baseColWidth="10" defaultRowHeight="16" x14ac:dyDescent="0.2"/>
  <cols>
    <col min="1" max="1" width="36.33203125" customWidth="1"/>
    <col min="2" max="2" width="14" customWidth="1"/>
    <col min="3" max="3" width="12.33203125" customWidth="1"/>
    <col min="4" max="4" width="14.6640625" customWidth="1"/>
    <col min="5" max="5" width="18.83203125" customWidth="1"/>
  </cols>
  <sheetData>
    <row r="1" spans="1:5" ht="17" x14ac:dyDescent="0.2">
      <c r="A1" s="1" t="s">
        <v>24</v>
      </c>
      <c r="B1" s="4"/>
      <c r="C1" s="4"/>
      <c r="D1" s="4"/>
      <c r="E1" s="4"/>
    </row>
    <row r="2" spans="1:5" x14ac:dyDescent="0.2">
      <c r="A2" s="5" t="s">
        <v>8</v>
      </c>
      <c r="B2" s="5" t="s">
        <v>9</v>
      </c>
      <c r="C2" s="5" t="s">
        <v>10</v>
      </c>
      <c r="D2" s="5" t="s">
        <v>11</v>
      </c>
      <c r="E2" s="5" t="s">
        <v>12</v>
      </c>
    </row>
    <row r="3" spans="1:5" x14ac:dyDescent="0.2">
      <c r="A3" s="2" t="s">
        <v>13</v>
      </c>
      <c r="B3" s="6">
        <v>0.12794</v>
      </c>
      <c r="C3" s="6">
        <v>2.7296800000000001</v>
      </c>
      <c r="D3" s="6">
        <v>1.368406</v>
      </c>
      <c r="E3" s="6">
        <v>1.70797</v>
      </c>
    </row>
    <row r="4" spans="1:5" x14ac:dyDescent="0.2">
      <c r="A4" s="2" t="s">
        <v>14</v>
      </c>
      <c r="B4" s="6">
        <v>2.70716</v>
      </c>
      <c r="C4" s="6">
        <v>19.747810000000001</v>
      </c>
      <c r="D4" s="6">
        <v>11.15399</v>
      </c>
      <c r="E4" s="6">
        <v>19.747810000000001</v>
      </c>
    </row>
    <row r="5" spans="1:5" x14ac:dyDescent="0.2">
      <c r="A5" s="2" t="s">
        <v>15</v>
      </c>
      <c r="B5" s="6">
        <v>0.15</v>
      </c>
      <c r="C5" s="6">
        <v>0.30499999999999999</v>
      </c>
      <c r="D5" s="6">
        <v>0.23145399999999999</v>
      </c>
      <c r="E5" s="6">
        <v>0.215</v>
      </c>
    </row>
    <row r="6" spans="1:5" x14ac:dyDescent="0.2">
      <c r="A6" s="2" t="s">
        <v>16</v>
      </c>
      <c r="B6" s="6">
        <v>0.64</v>
      </c>
      <c r="C6" s="6">
        <v>0.76500000000000001</v>
      </c>
      <c r="D6" s="6">
        <v>0.70099999999999996</v>
      </c>
      <c r="E6" s="6">
        <v>0.67</v>
      </c>
    </row>
    <row r="7" spans="1:5" x14ac:dyDescent="0.2">
      <c r="A7" s="2" t="s">
        <v>17</v>
      </c>
      <c r="B7" s="6">
        <v>6.5049599999999996</v>
      </c>
      <c r="C7" s="6">
        <v>13.82577</v>
      </c>
      <c r="D7" s="6">
        <v>8.91479</v>
      </c>
      <c r="E7" s="6">
        <v>6.9788100000000002</v>
      </c>
    </row>
    <row r="8" spans="1:5" x14ac:dyDescent="0.2">
      <c r="A8" s="2" t="s">
        <v>18</v>
      </c>
      <c r="B8" s="6">
        <v>0.68255999999999994</v>
      </c>
      <c r="C8" s="6">
        <v>0.83326999999999996</v>
      </c>
      <c r="D8" s="6">
        <v>0.77362399999999998</v>
      </c>
      <c r="E8" s="6">
        <v>0.79318</v>
      </c>
    </row>
    <row r="9" spans="1:5" x14ac:dyDescent="0.2">
      <c r="A9" s="2" t="s">
        <v>19</v>
      </c>
      <c r="B9" s="6">
        <v>0.68522000000000005</v>
      </c>
      <c r="C9" s="6">
        <v>0.72175999999999996</v>
      </c>
      <c r="D9" s="6">
        <v>0.70128400000000002</v>
      </c>
      <c r="E9" s="6">
        <v>0.69091999999999998</v>
      </c>
    </row>
    <row r="10" spans="1:5" x14ac:dyDescent="0.2">
      <c r="A10" s="2" t="s">
        <v>20</v>
      </c>
      <c r="B10" s="6">
        <v>0.20745</v>
      </c>
      <c r="C10" s="6">
        <v>0.4919</v>
      </c>
      <c r="D10" s="6">
        <v>0.35735600000000001</v>
      </c>
      <c r="E10" s="6">
        <v>0.4919</v>
      </c>
    </row>
    <row r="11" spans="1:5" x14ac:dyDescent="0.2">
      <c r="A11" s="2" t="s">
        <v>21</v>
      </c>
      <c r="B11" s="6">
        <v>0.52864999999999995</v>
      </c>
      <c r="C11" s="6">
        <v>0.68437000000000003</v>
      </c>
      <c r="D11" s="6">
        <v>0.59764399999999995</v>
      </c>
      <c r="E11" s="6">
        <v>0.52864999999999995</v>
      </c>
    </row>
    <row r="12" spans="1:5" x14ac:dyDescent="0.2">
      <c r="A12" s="2" t="s">
        <v>22</v>
      </c>
      <c r="B12" s="6">
        <v>1</v>
      </c>
      <c r="C12" s="6">
        <v>1</v>
      </c>
      <c r="D12" s="6">
        <v>1</v>
      </c>
      <c r="E12" s="6">
        <v>1</v>
      </c>
    </row>
    <row r="13" spans="1:5" x14ac:dyDescent="0.2">
      <c r="A13" s="2" t="s">
        <v>23</v>
      </c>
      <c r="B13" s="6">
        <v>0.60370000000000001</v>
      </c>
      <c r="C13" s="6">
        <v>0.65119000000000005</v>
      </c>
      <c r="D13" s="6">
        <v>0.63200400000000001</v>
      </c>
      <c r="E13" s="6">
        <v>0.60370000000000001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5D58C-E9CB-6741-A55E-25B2E6E7EF47}">
  <dimension ref="A1:E14"/>
  <sheetViews>
    <sheetView workbookViewId="0">
      <selection activeCell="D3" sqref="D3:D13"/>
    </sheetView>
  </sheetViews>
  <sheetFormatPr baseColWidth="10" defaultRowHeight="16" x14ac:dyDescent="0.2"/>
  <cols>
    <col min="1" max="1" width="32.5" customWidth="1"/>
    <col min="2" max="2" width="13.83203125" customWidth="1"/>
    <col min="3" max="3" width="13.5" customWidth="1"/>
    <col min="4" max="4" width="17.83203125" customWidth="1"/>
    <col min="5" max="5" width="14.6640625" customWidth="1"/>
  </cols>
  <sheetData>
    <row r="1" spans="1:5" ht="17" x14ac:dyDescent="0.2">
      <c r="A1" s="1" t="s">
        <v>25</v>
      </c>
      <c r="B1" s="4"/>
      <c r="C1" s="4"/>
      <c r="D1" s="4"/>
      <c r="E1" s="4"/>
    </row>
    <row r="2" spans="1:5" x14ac:dyDescent="0.2">
      <c r="A2" s="5" t="s">
        <v>8</v>
      </c>
      <c r="B2" s="5" t="s">
        <v>9</v>
      </c>
      <c r="C2" s="5" t="s">
        <v>10</v>
      </c>
      <c r="D2" s="5" t="s">
        <v>11</v>
      </c>
      <c r="E2" s="5" t="s">
        <v>12</v>
      </c>
    </row>
    <row r="3" spans="1:5" x14ac:dyDescent="0.2">
      <c r="A3" s="2" t="s">
        <v>13</v>
      </c>
      <c r="B3" s="6">
        <v>0.14768999999999999</v>
      </c>
      <c r="C3" s="6">
        <v>14.332509999999999</v>
      </c>
      <c r="D3" s="6">
        <v>4.0050600000000003</v>
      </c>
      <c r="E3" s="6">
        <v>14.332509999999999</v>
      </c>
    </row>
    <row r="4" spans="1:5" x14ac:dyDescent="0.2">
      <c r="A4" s="2" t="s">
        <v>14</v>
      </c>
      <c r="B4" s="6">
        <v>7.08345</v>
      </c>
      <c r="C4" s="6">
        <v>40.792270000000002</v>
      </c>
      <c r="D4" s="6">
        <v>16.945874</v>
      </c>
      <c r="E4" s="6">
        <v>40.792270000000002</v>
      </c>
    </row>
    <row r="5" spans="1:5" x14ac:dyDescent="0.2">
      <c r="A5" s="2" t="s">
        <v>15</v>
      </c>
      <c r="B5" s="6">
        <v>7.0000000000000007E-2</v>
      </c>
      <c r="C5" s="6">
        <v>0.24</v>
      </c>
      <c r="D5" s="6">
        <v>0.16170599999999999</v>
      </c>
      <c r="E5" s="6">
        <v>0.23149</v>
      </c>
    </row>
    <row r="6" spans="1:5" x14ac:dyDescent="0.2">
      <c r="A6" s="2" t="s">
        <v>16</v>
      </c>
      <c r="B6" s="6">
        <v>0.65249999999999997</v>
      </c>
      <c r="C6" s="6">
        <v>0.76749999999999996</v>
      </c>
      <c r="D6" s="6">
        <v>0.71099999999999997</v>
      </c>
      <c r="E6" s="6">
        <v>0.71499999999999997</v>
      </c>
    </row>
    <row r="7" spans="1:5" x14ac:dyDescent="0.2">
      <c r="A7" s="2" t="s">
        <v>17</v>
      </c>
      <c r="B7" s="6">
        <v>8.4013600000000004</v>
      </c>
      <c r="C7" s="6">
        <v>20.184380000000001</v>
      </c>
      <c r="D7" s="6">
        <v>13.776152</v>
      </c>
      <c r="E7" s="6">
        <v>8.4013600000000004</v>
      </c>
    </row>
    <row r="8" spans="1:5" x14ac:dyDescent="0.2">
      <c r="A8" s="2" t="s">
        <v>18</v>
      </c>
      <c r="B8" s="6">
        <v>0.43833</v>
      </c>
      <c r="C8" s="6">
        <v>0.70035000000000003</v>
      </c>
      <c r="D8" s="6">
        <v>0.55544199999999999</v>
      </c>
      <c r="E8" s="6">
        <v>0.70035000000000003</v>
      </c>
    </row>
    <row r="9" spans="1:5" x14ac:dyDescent="0.2">
      <c r="A9" s="2" t="s">
        <v>19</v>
      </c>
      <c r="B9" s="6">
        <v>0.74729999999999996</v>
      </c>
      <c r="C9" s="6">
        <v>0.79503999999999997</v>
      </c>
      <c r="D9" s="6">
        <v>0.77208200000000005</v>
      </c>
      <c r="E9" s="6">
        <v>0.78069</v>
      </c>
    </row>
    <row r="10" spans="1:5" x14ac:dyDescent="0.2">
      <c r="A10" s="2" t="s">
        <v>20</v>
      </c>
      <c r="B10" s="6">
        <v>0.33915000000000001</v>
      </c>
      <c r="C10" s="6">
        <v>0.96831999999999996</v>
      </c>
      <c r="D10" s="6">
        <v>0.59745800000000004</v>
      </c>
      <c r="E10" s="6">
        <v>0.96831999999999996</v>
      </c>
    </row>
    <row r="11" spans="1:5" x14ac:dyDescent="0.2">
      <c r="A11" s="2" t="s">
        <v>21</v>
      </c>
      <c r="B11" s="6">
        <v>0.30437999999999998</v>
      </c>
      <c r="C11" s="6">
        <v>0.72187999999999997</v>
      </c>
      <c r="D11" s="6">
        <v>0.54276000000000002</v>
      </c>
      <c r="E11" s="6">
        <v>0.72187999999999997</v>
      </c>
    </row>
    <row r="12" spans="1:5" x14ac:dyDescent="0.2">
      <c r="A12" s="2" t="s">
        <v>22</v>
      </c>
      <c r="B12" s="6">
        <v>1</v>
      </c>
      <c r="C12" s="6">
        <v>1</v>
      </c>
      <c r="D12" s="6">
        <v>1</v>
      </c>
      <c r="E12" s="6">
        <v>1</v>
      </c>
    </row>
    <row r="13" spans="1:5" x14ac:dyDescent="0.2">
      <c r="A13" s="2" t="s">
        <v>23</v>
      </c>
      <c r="B13" s="6">
        <v>0.60938000000000003</v>
      </c>
      <c r="C13" s="6">
        <v>0.66113</v>
      </c>
      <c r="D13" s="6">
        <v>0.63592199999999999</v>
      </c>
      <c r="E13" s="6">
        <v>0.66113</v>
      </c>
    </row>
    <row r="14" spans="1:5" x14ac:dyDescent="0.2">
      <c r="A14" s="3" t="s">
        <v>0</v>
      </c>
      <c r="B14" s="4"/>
      <c r="C14" s="4"/>
      <c r="D14" s="4"/>
      <c r="E14"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7E4FB-2DD1-BD4A-AD55-1EF71CE3E4A4}">
  <dimension ref="A1:E13"/>
  <sheetViews>
    <sheetView workbookViewId="0">
      <selection activeCell="D3" sqref="D3:D13"/>
    </sheetView>
  </sheetViews>
  <sheetFormatPr baseColWidth="10" defaultRowHeight="16" x14ac:dyDescent="0.2"/>
  <cols>
    <col min="1" max="1" width="31.6640625" customWidth="1"/>
    <col min="2" max="3" width="14.6640625" customWidth="1"/>
    <col min="4" max="4" width="15.33203125" customWidth="1"/>
    <col min="5" max="5" width="16" customWidth="1"/>
  </cols>
  <sheetData>
    <row r="1" spans="1:5" ht="17" x14ac:dyDescent="0.2">
      <c r="A1" s="1" t="s">
        <v>26</v>
      </c>
      <c r="B1" s="4"/>
      <c r="C1" s="4"/>
      <c r="D1" s="4"/>
      <c r="E1" s="4"/>
    </row>
    <row r="2" spans="1:5" x14ac:dyDescent="0.2">
      <c r="A2" s="5" t="s">
        <v>8</v>
      </c>
      <c r="B2" s="5" t="s">
        <v>9</v>
      </c>
      <c r="C2" s="5" t="s">
        <v>10</v>
      </c>
      <c r="D2" s="5" t="s">
        <v>11</v>
      </c>
      <c r="E2" s="5" t="s">
        <v>12</v>
      </c>
    </row>
    <row r="3" spans="1:5" x14ac:dyDescent="0.2">
      <c r="A3" s="2" t="s">
        <v>13</v>
      </c>
      <c r="B3" s="6">
        <v>6.2364600000000001</v>
      </c>
      <c r="C3" s="6">
        <v>19.21743</v>
      </c>
      <c r="D3" s="6">
        <v>11.08028</v>
      </c>
      <c r="E3" s="6">
        <v>9.7509499999999996</v>
      </c>
    </row>
    <row r="4" spans="1:5" x14ac:dyDescent="0.2">
      <c r="A4" s="2" t="s">
        <v>14</v>
      </c>
      <c r="B4" s="6">
        <v>29.510680000000001</v>
      </c>
      <c r="C4" s="6">
        <v>48.282730000000001</v>
      </c>
      <c r="D4" s="6">
        <v>39.882356000000001</v>
      </c>
      <c r="E4" s="6">
        <v>48.282730000000001</v>
      </c>
    </row>
    <row r="5" spans="1:5" x14ac:dyDescent="0.2">
      <c r="A5" s="2" t="s">
        <v>15</v>
      </c>
      <c r="B5" s="6">
        <v>0.11119999999999999</v>
      </c>
      <c r="C5" s="6">
        <v>0.25840999999999997</v>
      </c>
      <c r="D5" s="6">
        <v>0.15676399999999999</v>
      </c>
      <c r="E5" s="6">
        <v>0.11119999999999999</v>
      </c>
    </row>
    <row r="6" spans="1:5" x14ac:dyDescent="0.2">
      <c r="A6" s="2" t="s">
        <v>16</v>
      </c>
      <c r="B6" s="6">
        <v>0.73</v>
      </c>
      <c r="C6" s="6">
        <v>0.86499999999999999</v>
      </c>
      <c r="D6" s="6">
        <v>0.77800000000000002</v>
      </c>
      <c r="E6" s="6">
        <v>0.73250000000000004</v>
      </c>
    </row>
    <row r="7" spans="1:5" x14ac:dyDescent="0.2">
      <c r="A7" s="2" t="s">
        <v>17</v>
      </c>
      <c r="B7" s="6">
        <v>5.9351599999999998</v>
      </c>
      <c r="C7" s="6">
        <v>8.7213399999999996</v>
      </c>
      <c r="D7" s="6">
        <v>7.2254300000000002</v>
      </c>
      <c r="E7" s="6">
        <v>5.9351599999999998</v>
      </c>
    </row>
    <row r="8" spans="1:5" x14ac:dyDescent="0.2">
      <c r="A8" s="2" t="s">
        <v>18</v>
      </c>
      <c r="B8" s="6">
        <v>0.54659000000000002</v>
      </c>
      <c r="C8" s="6">
        <v>0.91918999999999995</v>
      </c>
      <c r="D8" s="6">
        <v>0.69210000000000005</v>
      </c>
      <c r="E8" s="6">
        <v>0.91918999999999995</v>
      </c>
    </row>
    <row r="9" spans="1:5" x14ac:dyDescent="0.2">
      <c r="A9" s="2" t="s">
        <v>19</v>
      </c>
      <c r="B9" s="6">
        <v>0.79396999999999995</v>
      </c>
      <c r="C9" s="6">
        <v>0.86436999999999997</v>
      </c>
      <c r="D9" s="6">
        <v>0.83048999999999995</v>
      </c>
      <c r="E9" s="6">
        <v>0.85202</v>
      </c>
    </row>
    <row r="10" spans="1:5" x14ac:dyDescent="0.2">
      <c r="A10" s="2" t="s">
        <v>20</v>
      </c>
      <c r="B10" s="6">
        <v>0.92552999999999996</v>
      </c>
      <c r="C10" s="6">
        <v>1.1880500000000001</v>
      </c>
      <c r="D10" s="6">
        <v>1.0696220000000001</v>
      </c>
      <c r="E10" s="6">
        <v>0.92552999999999996</v>
      </c>
    </row>
    <row r="11" spans="1:5" x14ac:dyDescent="0.2">
      <c r="A11" s="2" t="s">
        <v>21</v>
      </c>
      <c r="B11" s="6">
        <v>0.65129000000000004</v>
      </c>
      <c r="C11" s="6">
        <v>0.78</v>
      </c>
      <c r="D11" s="6">
        <v>0.71600799999999998</v>
      </c>
      <c r="E11" s="6">
        <v>0.76875000000000004</v>
      </c>
    </row>
    <row r="12" spans="1:5" x14ac:dyDescent="0.2">
      <c r="A12" s="2" t="s">
        <v>22</v>
      </c>
      <c r="B12" s="6">
        <v>1</v>
      </c>
      <c r="C12" s="6">
        <v>1</v>
      </c>
      <c r="D12" s="6">
        <v>1</v>
      </c>
      <c r="E12" s="6">
        <v>1</v>
      </c>
    </row>
    <row r="13" spans="1:5" x14ac:dyDescent="0.2">
      <c r="A13" s="2" t="s">
        <v>23</v>
      </c>
      <c r="B13" s="6">
        <v>0.68372999999999995</v>
      </c>
      <c r="C13" s="6">
        <v>0.75053000000000003</v>
      </c>
      <c r="D13" s="6">
        <v>0.71460400000000002</v>
      </c>
      <c r="E13" s="6">
        <v>0.74965999999999999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971A1-2269-DA43-A78F-947628C21805}">
  <dimension ref="A1:E13"/>
  <sheetViews>
    <sheetView workbookViewId="0">
      <selection activeCell="D16" sqref="D16"/>
    </sheetView>
  </sheetViews>
  <sheetFormatPr baseColWidth="10" defaultRowHeight="16" x14ac:dyDescent="0.2"/>
  <cols>
    <col min="1" max="1" width="34.83203125" customWidth="1"/>
    <col min="2" max="2" width="14" customWidth="1"/>
    <col min="3" max="3" width="13.6640625" customWidth="1"/>
    <col min="5" max="5" width="15.5" customWidth="1"/>
  </cols>
  <sheetData>
    <row r="1" spans="1:5" ht="17" x14ac:dyDescent="0.2">
      <c r="A1" s="1" t="s">
        <v>27</v>
      </c>
      <c r="B1" s="4"/>
      <c r="C1" s="4"/>
      <c r="D1" s="4"/>
      <c r="E1" s="4"/>
    </row>
    <row r="2" spans="1:5" x14ac:dyDescent="0.2">
      <c r="A2" s="5" t="s">
        <v>8</v>
      </c>
      <c r="B2" s="5" t="s">
        <v>9</v>
      </c>
      <c r="C2" s="5" t="s">
        <v>10</v>
      </c>
      <c r="D2" s="5" t="s">
        <v>11</v>
      </c>
      <c r="E2" s="5" t="s">
        <v>12</v>
      </c>
    </row>
    <row r="3" spans="1:5" x14ac:dyDescent="0.2">
      <c r="A3" s="2" t="s">
        <v>13</v>
      </c>
      <c r="B3" s="6">
        <v>9.0163200000000003</v>
      </c>
      <c r="C3" s="6">
        <v>27.405010000000001</v>
      </c>
      <c r="D3" s="6">
        <v>16.647387999999999</v>
      </c>
      <c r="E3" s="6">
        <v>12.48691</v>
      </c>
    </row>
    <row r="4" spans="1:5" x14ac:dyDescent="0.2">
      <c r="A4" s="2" t="s">
        <v>14</v>
      </c>
      <c r="B4" s="6">
        <v>47.20147</v>
      </c>
      <c r="C4" s="6">
        <v>76.105419999999995</v>
      </c>
      <c r="D4" s="6">
        <v>60.846381999999998</v>
      </c>
      <c r="E4" s="6">
        <v>47.20147</v>
      </c>
    </row>
    <row r="5" spans="1:5" x14ac:dyDescent="0.2">
      <c r="A5" s="2" t="s">
        <v>15</v>
      </c>
      <c r="B5" s="6">
        <v>9.912E-2</v>
      </c>
      <c r="C5" s="6">
        <v>0.13602</v>
      </c>
      <c r="D5" s="6">
        <v>0.120004</v>
      </c>
      <c r="E5" s="6">
        <v>9.912E-2</v>
      </c>
    </row>
    <row r="6" spans="1:5" x14ac:dyDescent="0.2">
      <c r="A6" s="2" t="s">
        <v>16</v>
      </c>
      <c r="B6" s="6">
        <v>0.73</v>
      </c>
      <c r="C6" s="6">
        <v>0.89249999999999996</v>
      </c>
      <c r="D6" s="6">
        <v>0.83750000000000002</v>
      </c>
      <c r="E6" s="6">
        <v>0.83250000000000002</v>
      </c>
    </row>
    <row r="7" spans="1:5" x14ac:dyDescent="0.2">
      <c r="A7" s="2" t="s">
        <v>17</v>
      </c>
      <c r="B7" s="6">
        <v>4.3013700000000004</v>
      </c>
      <c r="C7" s="6">
        <v>6.3853</v>
      </c>
      <c r="D7" s="6">
        <v>5.013706</v>
      </c>
      <c r="E7" s="6">
        <v>6.3853</v>
      </c>
    </row>
    <row r="8" spans="1:5" x14ac:dyDescent="0.2">
      <c r="A8" s="2" t="s">
        <v>18</v>
      </c>
      <c r="B8" s="6">
        <v>0.71316000000000002</v>
      </c>
      <c r="C8" s="6">
        <v>1.0968100000000001</v>
      </c>
      <c r="D8" s="6">
        <v>0.96283399999999997</v>
      </c>
      <c r="E8" s="6">
        <v>0.71316000000000002</v>
      </c>
    </row>
    <row r="9" spans="1:5" x14ac:dyDescent="0.2">
      <c r="A9" s="2" t="s">
        <v>19</v>
      </c>
      <c r="B9" s="6">
        <v>0.83321999999999996</v>
      </c>
      <c r="C9" s="6">
        <v>0.91747999999999996</v>
      </c>
      <c r="D9" s="6">
        <v>0.87990599999999997</v>
      </c>
      <c r="E9" s="6">
        <v>0.89424000000000003</v>
      </c>
    </row>
    <row r="10" spans="1:5" x14ac:dyDescent="0.2">
      <c r="A10" s="2" t="s">
        <v>20</v>
      </c>
      <c r="B10" s="6">
        <v>1.04813</v>
      </c>
      <c r="C10" s="6">
        <v>1.26264</v>
      </c>
      <c r="D10" s="6">
        <v>1.162836</v>
      </c>
      <c r="E10" s="6">
        <v>1.26264</v>
      </c>
    </row>
    <row r="11" spans="1:5" x14ac:dyDescent="0.2">
      <c r="A11" s="2" t="s">
        <v>21</v>
      </c>
      <c r="B11" s="6">
        <v>0.67437000000000002</v>
      </c>
      <c r="C11" s="6">
        <v>0.83</v>
      </c>
      <c r="D11" s="6">
        <v>0.75589799999999996</v>
      </c>
      <c r="E11" s="6">
        <v>0.80625000000000002</v>
      </c>
    </row>
    <row r="12" spans="1:5" x14ac:dyDescent="0.2">
      <c r="A12" s="2" t="s">
        <v>22</v>
      </c>
      <c r="B12" s="6">
        <v>1</v>
      </c>
      <c r="C12" s="6">
        <v>1</v>
      </c>
      <c r="D12" s="6">
        <v>1</v>
      </c>
      <c r="E12" s="6">
        <v>1</v>
      </c>
    </row>
    <row r="13" spans="1:5" x14ac:dyDescent="0.2">
      <c r="A13" s="2" t="s">
        <v>23</v>
      </c>
      <c r="B13" s="6">
        <v>0.66451000000000005</v>
      </c>
      <c r="C13" s="6">
        <v>0.77424999999999999</v>
      </c>
      <c r="D13" s="6">
        <v>0.72264799999999996</v>
      </c>
      <c r="E13" s="6">
        <v>0.77339000000000002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Data Dictionary</vt:lpstr>
      <vt:lpstr>Combined</vt:lpstr>
      <vt:lpstr>Total Performance </vt:lpstr>
      <vt:lpstr>Industry Results for Quarter 2</vt:lpstr>
      <vt:lpstr>Industry Results for Quarter 3</vt:lpstr>
      <vt:lpstr>Industry Results for Quarter 4</vt:lpstr>
      <vt:lpstr>Industry Results for Quarter 5</vt:lpstr>
      <vt:lpstr>Industry Results for Quarter 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Lashawn Fofung</dc:creator>
  <cp:lastModifiedBy>Lashawn Fofung</cp:lastModifiedBy>
  <dcterms:created xsi:type="dcterms:W3CDTF">2025-06-29T00:44:33Z</dcterms:created>
  <dcterms:modified xsi:type="dcterms:W3CDTF">2025-06-30T10:07:37Z</dcterms:modified>
</cp:coreProperties>
</file>