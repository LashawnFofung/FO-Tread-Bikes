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lashawnfofung/Documents/IT Resume &amp; Transcript/Portfolio/Projects/MBA Capstone/Excel Data for Github/"/>
    </mc:Choice>
  </mc:AlternateContent>
  <xr:revisionPtr revIDLastSave="0" documentId="13_ncr:1_{B4A963D6-F653-DF44-A032-6B5BF798F8B1}" xr6:coauthVersionLast="47" xr6:coauthVersionMax="47" xr10:uidLastSave="{00000000-0000-0000-0000-000000000000}"/>
  <bookViews>
    <workbookView xWindow="300" yWindow="1140" windowWidth="27240" windowHeight="15940" xr2:uid="{11D0EAC9-D983-4344-B57C-845F74CEB567}"/>
  </bookViews>
  <sheets>
    <sheet name="Q2 &amp; Q3" sheetId="1" r:id="rId1"/>
    <sheet name="Charts Q4 to Q6" sheetId="2" r:id="rId2"/>
    <sheet name="Q4, Q5, Q6" sheetId="3" r:id="rId3"/>
  </sheets>
  <externalReferences>
    <externalReference r:id="rId4"/>
  </externalReferences>
  <calcPr calcId="181029"/>
  <pivotCaches>
    <pivotCache cacheId="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<sst xmlns="http://schemas.openxmlformats.org/spreadsheetml/2006/main" count="59" uniqueCount="24">
  <si>
    <t>Market Share</t>
  </si>
  <si>
    <t>Company</t>
  </si>
  <si>
    <t>Recreation Q2</t>
  </si>
  <si>
    <t>Mountain Q2</t>
  </si>
  <si>
    <t>Speed Q2</t>
  </si>
  <si>
    <t>Total
Market Share Q2</t>
  </si>
  <si>
    <t>Total
Market Share Q3</t>
  </si>
  <si>
    <t>FO Treads Bikes</t>
  </si>
  <si>
    <t>THE GOOD BIKE</t>
  </si>
  <si>
    <t>Thunder Bike</t>
  </si>
  <si>
    <t>BIK3D</t>
  </si>
  <si>
    <t>Back to Bike</t>
  </si>
  <si>
    <t>Sum of Q4 Total Market Share (%)</t>
  </si>
  <si>
    <t>Row Labels</t>
  </si>
  <si>
    <t>Sum of Q5 Total Market Share (%)</t>
  </si>
  <si>
    <t>Sum of Q6 Total Market Share (%)</t>
  </si>
  <si>
    <t>Grand Total</t>
  </si>
  <si>
    <t>Q4 Total Demand (Units)</t>
  </si>
  <si>
    <t>Q4 Total Market Share (%)</t>
  </si>
  <si>
    <t>Q5 Total Demand (Units)</t>
  </si>
  <si>
    <t>Q5 Total Market Share (%)</t>
  </si>
  <si>
    <t>Q6 Total Demand (Units)</t>
  </si>
  <si>
    <t>Q6 Total Market Share (%)</t>
  </si>
  <si>
    <t>Total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</si>
</sst>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3" fontId="1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right" vertical="center"/>
    </xf>
    <xf numFmtId="4" fontId="2" fillId="0" borderId="0" xfId="0" applyNumberFormat="1" applyFont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3" fillId="0" borderId="0" xfId="0" applyFont="1"/>
    <xf numFmtId="3" fontId="3" fillId="0" borderId="0" xfId="0" applyNumberFormat="1" applyFont="1"/>
    <xf numFmtId="10" fontId="3" fillId="0" borderId="0" xfId="0" applyNumberFormat="1" applyFont="1"/>
  </cellXfs>
  <cellStyles count="1">
    <cellStyle name="Normal" xfId="0" builtinId="0"/>
  </cellStyles>
  <dxfs count="2"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Comparison of
Total Market Share Q2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'Q2 &amp; Q3'!$B$16:$B$17</c:f>
              <c:strCache>
                <c:ptCount val="2"/>
                <c:pt idx="0">
                  <c:v>Market Share</c:v>
                </c:pt>
                <c:pt idx="1">
                  <c:v>Total
Market Share Q2</c:v>
                </c:pt>
              </c:strCache>
            </c:strRef>
          </c:tx>
          <c:dPt>
            <c:idx val="0"/>
            <c:bubble3D val="0"/>
            <c:spPr>
              <a:solidFill>
                <a:srgbClr val="17375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80-3646-BD18-5754D469D4BB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80-3646-BD18-5754D469D4BB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80-3646-BD18-5754D469D4BB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80-3646-BD18-5754D469D4BB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80-3646-BD18-5754D469D4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'Q2 &amp; Q3'!$A$18:$A$22</c:f>
              <c:strCache>
                <c:ptCount val="5"/>
                <c:pt idx="0">
                  <c:v>FO Treads Bikes</c:v>
                </c:pt>
                <c:pt idx="1">
                  <c:v>THE GOOD BIKE</c:v>
                </c:pt>
                <c:pt idx="2">
                  <c:v>Thunder Bike</c:v>
                </c:pt>
                <c:pt idx="3">
                  <c:v>BIK3D</c:v>
                </c:pt>
                <c:pt idx="4">
                  <c:v>Back to Bike</c:v>
                </c:pt>
              </c:strCache>
            </c:strRef>
          </c:cat>
          <c:val>
            <c:numRef>
              <c:f>'Q2 &amp; Q3'!$B$18:$B$22</c:f>
              <c:numCache>
                <c:formatCode>#,##0</c:formatCode>
                <c:ptCount val="5"/>
                <c:pt idx="0">
                  <c:v>41.424418604651002</c:v>
                </c:pt>
                <c:pt idx="1">
                  <c:v>2.2529069767442</c:v>
                </c:pt>
                <c:pt idx="2">
                  <c:v>19.985465116278998</c:v>
                </c:pt>
                <c:pt idx="3">
                  <c:v>19.549418604650999</c:v>
                </c:pt>
                <c:pt idx="4">
                  <c:v>16.787790697674001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80-3646-BD18-5754D469D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Comparison of
Total Market Share Q3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'Q2 &amp; Q3'!$B$27:$B$28</c:f>
              <c:strCache>
                <c:ptCount val="2"/>
                <c:pt idx="0">
                  <c:v>Market Share</c:v>
                </c:pt>
                <c:pt idx="1">
                  <c:v>Total
Market Share Q3</c:v>
                </c:pt>
              </c:strCache>
            </c:strRef>
          </c:tx>
          <c:dPt>
            <c:idx val="0"/>
            <c:bubble3D val="0"/>
            <c:spPr>
              <a:solidFill>
                <a:srgbClr val="17375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27-7048-9BE7-8713BC91E08C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27-7048-9BE7-8713BC91E08C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27-7048-9BE7-8713BC91E08C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27-7048-9BE7-8713BC91E08C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27-7048-9BE7-8713BC91E0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'Q2 &amp; Q3'!$A$29:$A$33</c:f>
              <c:strCache>
                <c:ptCount val="5"/>
                <c:pt idx="0">
                  <c:v>FO Treads Bikes</c:v>
                </c:pt>
                <c:pt idx="1">
                  <c:v>THE GOOD BIKE</c:v>
                </c:pt>
                <c:pt idx="2">
                  <c:v>Thunder Bike</c:v>
                </c:pt>
                <c:pt idx="3">
                  <c:v>BIK3D</c:v>
                </c:pt>
                <c:pt idx="4">
                  <c:v>Back to Bike</c:v>
                </c:pt>
              </c:strCache>
            </c:strRef>
          </c:cat>
          <c:val>
            <c:numRef>
              <c:f>'Q2 &amp; Q3'!$B$29:$B$33</c:f>
              <c:numCache>
                <c:formatCode>#,##0</c:formatCode>
                <c:ptCount val="5"/>
                <c:pt idx="0">
                  <c:v>17.878459034182999</c:v>
                </c:pt>
                <c:pt idx="1">
                  <c:v>6.9994574064026001</c:v>
                </c:pt>
                <c:pt idx="2">
                  <c:v>25.311991318501999</c:v>
                </c:pt>
                <c:pt idx="3">
                  <c:v>22.816060770482999</c:v>
                </c:pt>
                <c:pt idx="4">
                  <c:v>26.994031470429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27-7048-9BE7-8713BC91E0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Comparison of Total Market Share Q4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rgbClr val="1F497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6647774755946533E-3"/>
              <c:y val="-2.1782319447338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5328988193867735"/>
                  <c:h val="0.12355953923550275"/>
                </c:manualLayout>
              </c15:layout>
            </c:ext>
          </c:extLst>
        </c:dLbl>
      </c:pivotFmt>
      <c:pivotFmt>
        <c:idx val="11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14663874862082488"/>
                  <c:h val="0.18517807605010228"/>
                </c:manualLayout>
              </c15:layout>
            </c:ext>
          </c:extLst>
        </c:dLbl>
      </c:pivotFmt>
      <c:pivotFmt>
        <c:idx val="116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37-8640-84E9-8757A438C607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37-8640-84E9-8757A438C607}"/>
              </c:ext>
            </c:extLst>
          </c:dPt>
          <c:dPt>
            <c:idx val="2"/>
            <c:bubble3D val="0"/>
            <c:spPr>
              <a:solidFill>
                <a:srgbClr val="1F4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37-8640-84E9-8757A438C607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37-8640-84E9-8757A438C607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37-8640-84E9-8757A438C607}"/>
              </c:ext>
            </c:extLst>
          </c:dPt>
          <c:dLbls>
            <c:dLbl>
              <c:idx val="2"/>
              <c:layout>
                <c:manualLayout>
                  <c:x val="6.6647774755946533E-3"/>
                  <c:y val="-2.17823194473387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28988193867735"/>
                      <c:h val="0.123559539235502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437-8640-84E9-8757A438C60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4663874862082488"/>
                      <c:h val="0.185178076050102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437-8640-84E9-8757A438C6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Back to Bike</c:v>
              </c:pt>
              <c:pt idx="1">
                <c:v>BIK3D</c:v>
              </c:pt>
              <c:pt idx="2">
                <c:v>FO Treads Bikes</c:v>
              </c:pt>
              <c:pt idx="3">
                <c:v>THE GOOD BIKE</c:v>
              </c:pt>
              <c:pt idx="4">
                <c:v>Thunder Bike</c:v>
              </c:pt>
            </c:strLit>
          </c:cat>
          <c:val>
            <c:numLit>
              <c:formatCode>General</c:formatCode>
              <c:ptCount val="5"/>
              <c:pt idx="0">
                <c:v>0.36770000000000003</c:v>
              </c:pt>
              <c:pt idx="1">
                <c:v>6.2799999999999995E-2</c:v>
              </c:pt>
              <c:pt idx="2">
                <c:v>0.27729999999999999</c:v>
              </c:pt>
              <c:pt idx="3">
                <c:v>9.1200000000000003E-2</c:v>
              </c:pt>
              <c:pt idx="4">
                <c:v>0.2011</c:v>
              </c:pt>
            </c:numLit>
          </c:val>
          <c:extLst>
            <c:ext xmlns:c16="http://schemas.microsoft.com/office/drawing/2014/chart" uri="{C3380CC4-5D6E-409C-BE32-E72D297353CC}">
              <c16:uniqueId val="{0000000A-4437-8640-84E9-8757A438C6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Comparison</a:t>
            </a:r>
            <a:r>
              <a:rPr lang="en-US" sz="1200" baseline="0">
                <a:solidFill>
                  <a:schemeClr val="tx1"/>
                </a:solidFill>
              </a:rPr>
              <a:t> of Total Market Share Q5 (%)</a:t>
            </a:r>
            <a:endParaRPr lang="en-US" sz="12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1F497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730826022686453E-2"/>
              <c:y val="-2.16394840181247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151348972806473"/>
                  <c:h val="0.12274930964251352"/>
                </c:manualLayout>
              </c15:layout>
            </c:ext>
          </c:extLst>
        </c:dLbl>
      </c:pivotFmt>
      <c:pivotFmt>
        <c:idx val="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15792024360624163"/>
                  <c:h val="0.17684766471174235"/>
                </c:manualLayout>
              </c15:layout>
            </c:ext>
          </c:extLst>
        </c:dLbl>
      </c:pivotFmt>
      <c:pivotFmt>
        <c:idx val="5"/>
        <c:spPr>
          <a:solidFill>
            <a:srgbClr val="BCC8D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1D-0046-9F07-47F1DB1F4468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1D-0046-9F07-47F1DB1F4468}"/>
              </c:ext>
            </c:extLst>
          </c:dPt>
          <c:dPt>
            <c:idx val="2"/>
            <c:bubble3D val="0"/>
            <c:spPr>
              <a:solidFill>
                <a:srgbClr val="1F4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1D-0046-9F07-47F1DB1F4468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1D-0046-9F07-47F1DB1F4468}"/>
              </c:ext>
            </c:extLst>
          </c:dPt>
          <c:dPt>
            <c:idx val="4"/>
            <c:bubble3D val="0"/>
            <c:spPr>
              <a:solidFill>
                <a:srgbClr val="BCC8D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1D-0046-9F07-47F1DB1F4468}"/>
              </c:ext>
            </c:extLst>
          </c:dPt>
          <c:dLbls>
            <c:dLbl>
              <c:idx val="2"/>
              <c:layout>
                <c:manualLayout>
                  <c:x val="1.3730826022686453E-2"/>
                  <c:y val="-2.16394840181247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8151348972806473"/>
                      <c:h val="0.1227493096425135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81D-0046-9F07-47F1DB1F446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5792024360624163"/>
                      <c:h val="0.176847664711742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81D-0046-9F07-47F1DB1F44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Back to Bike</c:v>
              </c:pt>
              <c:pt idx="1">
                <c:v>BIK3D</c:v>
              </c:pt>
              <c:pt idx="2">
                <c:v>FO Treads Bikes</c:v>
              </c:pt>
              <c:pt idx="3">
                <c:v>THE GOOD BIKE</c:v>
              </c:pt>
              <c:pt idx="4">
                <c:v>Thunder Bike</c:v>
              </c:pt>
            </c:strLit>
          </c:cat>
          <c:val>
            <c:numLit>
              <c:formatCode>General</c:formatCode>
              <c:ptCount val="5"/>
              <c:pt idx="0">
                <c:v>0.1202</c:v>
              </c:pt>
              <c:pt idx="1">
                <c:v>0.20580000000000001</c:v>
              </c:pt>
              <c:pt idx="2">
                <c:v>0.25090000000000001</c:v>
              </c:pt>
              <c:pt idx="3">
                <c:v>0.22389999999999999</c:v>
              </c:pt>
              <c:pt idx="4">
                <c:v>0.19919999999999999</c:v>
              </c:pt>
            </c:numLit>
          </c:val>
          <c:extLst>
            <c:ext xmlns:c16="http://schemas.microsoft.com/office/drawing/2014/chart" uri="{C3380CC4-5D6E-409C-BE32-E72D297353CC}">
              <c16:uniqueId val="{0000000A-B81D-0046-9F07-47F1DB1F44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Comparison of Total Market Share Q6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1F497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4871268231509798E-2"/>
              <c:y val="-1.416189882739477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6753238546944752"/>
                  <c:h val="0.12242819917294509"/>
                </c:manualLayout>
              </c15:layout>
            </c:ext>
          </c:extLst>
        </c:dLbl>
      </c:pivotFmt>
      <c:pivotFmt>
        <c:idx val="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1440544458258308"/>
                  <c:h val="0.1799821560074775"/>
                </c:manualLayout>
              </c15:layout>
            </c:ext>
          </c:extLst>
        </c:dLbl>
      </c:pivotFmt>
      <c:pivotFmt>
        <c:idx val="5"/>
        <c:spPr>
          <a:solidFill>
            <a:srgbClr val="BCC8D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FD-1145-BE80-66D497267FFC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FD-1145-BE80-66D497267FFC}"/>
              </c:ext>
            </c:extLst>
          </c:dPt>
          <c:dPt>
            <c:idx val="2"/>
            <c:bubble3D val="0"/>
            <c:spPr>
              <a:solidFill>
                <a:srgbClr val="1F4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FD-1145-BE80-66D497267FFC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AFD-1145-BE80-66D497267FFC}"/>
              </c:ext>
            </c:extLst>
          </c:dPt>
          <c:dPt>
            <c:idx val="4"/>
            <c:bubble3D val="0"/>
            <c:spPr>
              <a:solidFill>
                <a:srgbClr val="BCC8D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AFD-1145-BE80-66D497267FFC}"/>
              </c:ext>
            </c:extLst>
          </c:dPt>
          <c:dLbls>
            <c:dLbl>
              <c:idx val="2"/>
              <c:layout>
                <c:manualLayout>
                  <c:x val="-5.4871268231509798E-2"/>
                  <c:y val="-1.4161898827394777E-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753238546944752"/>
                      <c:h val="0.122428199172945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AFD-1145-BE80-66D497267FF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440544458258308"/>
                      <c:h val="0.17998215600747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AFD-1145-BE80-66D497267F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Back to Bike</c:v>
              </c:pt>
              <c:pt idx="1">
                <c:v>BIK3D</c:v>
              </c:pt>
              <c:pt idx="2">
                <c:v>FO Treads Bikes</c:v>
              </c:pt>
              <c:pt idx="3">
                <c:v>THE GOOD BIKE</c:v>
              </c:pt>
              <c:pt idx="4">
                <c:v>Thunder Bike</c:v>
              </c:pt>
            </c:strLit>
          </c:cat>
          <c:val>
            <c:numLit>
              <c:formatCode>General</c:formatCode>
              <c:ptCount val="5"/>
              <c:pt idx="0">
                <c:v>0.13450000000000001</c:v>
              </c:pt>
              <c:pt idx="1">
                <c:v>0.2853</c:v>
              </c:pt>
              <c:pt idx="2">
                <c:v>0.21010000000000001</c:v>
              </c:pt>
              <c:pt idx="3">
                <c:v>0.1406</c:v>
              </c:pt>
              <c:pt idx="4">
                <c:v>0.22950000000000001</c:v>
              </c:pt>
            </c:numLit>
          </c:val>
          <c:extLst>
            <c:ext xmlns:c16="http://schemas.microsoft.com/office/drawing/2014/chart" uri="{C3380CC4-5D6E-409C-BE32-E72D297353CC}">
              <c16:uniqueId val="{0000000A-EAFD-1145-BE80-66D497267F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10</xdr:row>
      <xdr:rowOff>190500</xdr:rowOff>
    </xdr:from>
    <xdr:to>
      <xdr:col>11</xdr:col>
      <xdr:colOff>584200</xdr:colOff>
      <xdr:row>32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CDF386-FDE5-4646-81BB-C240E1C45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12700</xdr:colOff>
      <xdr:row>11</xdr:row>
      <xdr:rowOff>0</xdr:rowOff>
    </xdr:from>
    <xdr:to>
      <xdr:col>20</xdr:col>
      <xdr:colOff>165100</xdr:colOff>
      <xdr:row>32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ECD784-A9C0-6F48-9CD3-08BB550A9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17</xdr:row>
      <xdr:rowOff>11545</xdr:rowOff>
    </xdr:from>
    <xdr:to>
      <xdr:col>1</xdr:col>
      <xdr:colOff>867064</xdr:colOff>
      <xdr:row>38</xdr:row>
      <xdr:rowOff>115454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ED1BCA-0E56-F64F-93BC-DDF05984A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971550</xdr:colOff>
      <xdr:row>17</xdr:row>
      <xdr:rowOff>0</xdr:rowOff>
    </xdr:from>
    <xdr:to>
      <xdr:col>3</xdr:col>
      <xdr:colOff>1346200</xdr:colOff>
      <xdr:row>38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8BDFA9-B157-1D45-AC01-EF941FF55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1477241</xdr:colOff>
      <xdr:row>17</xdr:row>
      <xdr:rowOff>1155</xdr:rowOff>
    </xdr:from>
    <xdr:to>
      <xdr:col>5</xdr:col>
      <xdr:colOff>873991</xdr:colOff>
      <xdr:row>38</xdr:row>
      <xdr:rowOff>137391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3D3B62-F123-D841-A847-CE229F16F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lashawnfofung/Documents/WGU%20(MBA%20Program)/MBA%20IT%20Management%20Capstone%20C218/Task%201/Slide%204/Data%20-%20Market%20Share/Market%20Share%20Q2%20and%20Q3.xlsm" TargetMode="External"/><Relationship Id="rId1" Type="http://schemas.openxmlformats.org/officeDocument/2006/relationships/externalLinkPath" Target="/Users/lashawnfofung/Documents/WGU%20(MBA%20Program)/MBA%20IT%20Management%20Capstone%20C218/Task%201/Slide%204/Data%20-%20Market%20Share/Market%20Share%20Q2%20and%20Q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tal Demand"/>
      <sheetName val="Sheet5"/>
      <sheetName val="Market Share"/>
      <sheetName val="Market Demand"/>
    </sheetNames>
    <sheetDataSet>
      <sheetData sheetId="0" refreshError="1"/>
      <sheetData sheetId="1" refreshError="1"/>
      <sheetData sheetId="2">
        <row r="17">
          <cell r="B17" t="str">
            <v>Total
Market Share Q2</v>
          </cell>
        </row>
        <row r="18">
          <cell r="A18" t="str">
            <v>FO Treads Bikes</v>
          </cell>
          <cell r="B18">
            <v>41.424418604651002</v>
          </cell>
        </row>
        <row r="19">
          <cell r="A19" t="str">
            <v>THE GOOD BIKE</v>
          </cell>
          <cell r="B19">
            <v>2.2529069767442</v>
          </cell>
        </row>
        <row r="20">
          <cell r="A20" t="str">
            <v>Thunder Bike</v>
          </cell>
          <cell r="B20">
            <v>19.985465116278998</v>
          </cell>
        </row>
        <row r="21">
          <cell r="A21" t="str">
            <v>BIK3D</v>
          </cell>
          <cell r="B21">
            <v>19.549418604650999</v>
          </cell>
        </row>
        <row r="22">
          <cell r="A22" t="str">
            <v>Back to Bike</v>
          </cell>
          <cell r="B22">
            <v>16.787790697674001</v>
          </cell>
        </row>
        <row r="28">
          <cell r="B28" t="str">
            <v>Total
Market Share Q3</v>
          </cell>
        </row>
        <row r="29">
          <cell r="A29" t="str">
            <v>FO Treads Bikes</v>
          </cell>
          <cell r="B29">
            <v>17.878459034182999</v>
          </cell>
        </row>
        <row r="30">
          <cell r="A30" t="str">
            <v>THE GOOD BIKE</v>
          </cell>
          <cell r="B30">
            <v>6.9994574064026001</v>
          </cell>
        </row>
        <row r="31">
          <cell r="A31" t="str">
            <v>Thunder Bike</v>
          </cell>
          <cell r="B31">
            <v>25.311991318501999</v>
          </cell>
        </row>
        <row r="32">
          <cell r="A32" t="str">
            <v>BIK3D</v>
          </cell>
          <cell r="B32">
            <v>22.816060770482999</v>
          </cell>
        </row>
        <row r="33">
          <cell r="A33" t="str">
            <v>Back to Bike</v>
          </cell>
          <cell r="B33">
            <v>26.994031470429</v>
          </cell>
        </row>
      </sheetData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lashawnfofung/Documents/IT%20Resume%20&amp;%20Transcript/Portfolio/Projects/MBA%20Capstone/Task2%20Stockholder%20Report/Market%20Share%20&amp;%20Demand%20Q4%20to%20Q6/Q4,%20Q5,%20Q6%20for%20all%20companies%20market%20demand%20and%20market%20share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shawn Denise Fofung" refreshedDate="45831.273734722221" createdVersion="8" refreshedVersion="8" minRefreshableVersion="3" recordCount="6" xr:uid="{2EA27793-4CD9-BE49-AE94-F0727A7605A4}">
  <cacheSource type="worksheet">
    <worksheetSource ref="A1:G7" sheet="Q4, Q5, Q6" r:id="rId2"/>
  </cacheSource>
  <cacheFields count="7">
    <cacheField name="Company" numFmtId="0">
      <sharedItems count="6">
        <s v="FO Treads Bikes"/>
        <s v="THE GOOD BIKE"/>
        <s v="Thunder Bike"/>
        <s v="BIK3D"/>
        <s v="Back to Bike"/>
        <s v="Total Market"/>
      </sharedItems>
    </cacheField>
    <cacheField name="Q4 Total Demand (Units)" numFmtId="0">
      <sharedItems containsSemiMixedTypes="0" containsString="0" containsNumber="1" containsInteger="1" minValue="606" maxValue="9653"/>
    </cacheField>
    <cacheField name="Q4 Total Market Share (%)" numFmtId="10">
      <sharedItems containsSemiMixedTypes="0" containsString="0" containsNumber="1" minValue="6.2799999999999995E-2" maxValue="1"/>
    </cacheField>
    <cacheField name="Q5 Total Demand (Units)" numFmtId="3">
      <sharedItems containsSemiMixedTypes="0" containsString="0" containsNumber="1" containsInteger="1" minValue="2687" maxValue="22352"/>
    </cacheField>
    <cacheField name="Q5 Total Market Share (%)" numFmtId="10">
      <sharedItems containsSemiMixedTypes="0" containsString="0" containsNumber="1" minValue="0.1202" maxValue="1"/>
    </cacheField>
    <cacheField name="Q6 Total Demand (Units)" numFmtId="3">
      <sharedItems containsSemiMixedTypes="0" containsString="0" containsNumber="1" containsInteger="1" minValue="5404" maxValue="40181"/>
    </cacheField>
    <cacheField name="Q6 Total Market Share (%)" numFmtId="10">
      <sharedItems containsSemiMixedTypes="0" containsString="0" containsNumber="1" minValue="0.1345000000000000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2677"/>
    <n v="0.27729999999999999"/>
    <n v="5608"/>
    <n v="0.25090000000000001"/>
    <n v="8443"/>
    <n v="0.21010000000000001"/>
  </r>
  <r>
    <x v="1"/>
    <n v="880"/>
    <n v="9.1200000000000003E-2"/>
    <n v="5004"/>
    <n v="0.22389999999999999"/>
    <n v="5648"/>
    <n v="0.1406"/>
  </r>
  <r>
    <x v="2"/>
    <n v="1941"/>
    <n v="0.2011"/>
    <n v="4453"/>
    <n v="0.19919999999999999"/>
    <n v="9221"/>
    <n v="0.22950000000000001"/>
  </r>
  <r>
    <x v="3"/>
    <n v="606"/>
    <n v="6.2799999999999995E-2"/>
    <n v="4600"/>
    <n v="0.20580000000000001"/>
    <n v="11465"/>
    <n v="0.2853"/>
  </r>
  <r>
    <x v="4"/>
    <n v="3549"/>
    <n v="0.36770000000000003"/>
    <n v="2687"/>
    <n v="0.1202"/>
    <n v="5404"/>
    <n v="0.13450000000000001"/>
  </r>
  <r>
    <x v="5"/>
    <n v="9653"/>
    <n v="1"/>
    <n v="22352"/>
    <n v="1"/>
    <n v="4018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667655-4C9F-DF4B-8207-8A173B5AC7AF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C4:D10" firstHeaderRow="1" firstDataRow="1" firstDataCol="1"/>
  <pivotFields count="7">
    <pivotField axis="axisRow" showAll="0">
      <items count="7">
        <item x="4"/>
        <item x="3"/>
        <item x="0"/>
        <item x="1"/>
        <item x="2"/>
        <item h="1" x="5"/>
        <item t="default"/>
      </items>
    </pivotField>
    <pivotField showAll="0"/>
    <pivotField numFmtId="10" showAll="0"/>
    <pivotField numFmtId="3" showAll="0"/>
    <pivotField dataField="1" numFmtId="10" showAll="0"/>
    <pivotField numFmtId="3"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5 Total Market Share (%)" fld="4" baseField="0" baseItem="0" numFmtId="9"/>
  </dataFields>
  <formats count="1">
    <format dxfId="0">
      <pivotArea outline="0" collapsedLevelsAreSubtotals="1" fieldPosition="0"/>
    </format>
  </formats>
  <chartFormats count="6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C0C6C7-237D-B54F-AD17-0239B14E07D7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F4:G10" firstHeaderRow="1" firstDataRow="1" firstDataCol="1"/>
  <pivotFields count="7">
    <pivotField axis="axisRow" showAll="0">
      <items count="7">
        <item x="4"/>
        <item x="3"/>
        <item x="0"/>
        <item x="1"/>
        <item x="2"/>
        <item h="1" x="5"/>
        <item t="default"/>
      </items>
    </pivotField>
    <pivotField showAll="0"/>
    <pivotField numFmtId="10" showAll="0"/>
    <pivotField numFmtId="3" showAll="0"/>
    <pivotField numFmtId="10" showAll="0"/>
    <pivotField numFmtId="3" showAll="0"/>
    <pivotField dataField="1"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6 Total Market Share (%)" fld="6" baseField="0" baseItem="0" numFmtId="9"/>
  </dataFields>
  <formats count="1">
    <format dxfId="1">
      <pivotArea outline="0" collapsedLevelsAreSubtotals="1" fieldPosition="0"/>
    </format>
  </formats>
  <chartFormats count="6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44A38-B2AE-DA43-9F56-64A3EC9DC8CF}">
  <dimension ref="A1:F33"/>
  <sheetViews>
    <sheetView tabSelected="1" topLeftCell="E1" zoomScale="120" zoomScaleNormal="120" workbookViewId="0">
      <selection activeCell="H4" sqref="H4"/>
    </sheetView>
  </sheetViews>
  <sheetFormatPr baseColWidth="10" defaultRowHeight="16" x14ac:dyDescent="0.2"/>
  <cols>
    <col min="1" max="1" width="14" bestFit="1" customWidth="1"/>
    <col min="2" max="2" width="14" customWidth="1"/>
    <col min="3" max="3" width="16" customWidth="1"/>
    <col min="4" max="4" width="16.6640625" customWidth="1"/>
    <col min="5" max="5" width="16" customWidth="1"/>
    <col min="6" max="6" width="13.83203125" customWidth="1"/>
    <col min="7" max="7" width="14" customWidth="1"/>
    <col min="8" max="8" width="12.6640625" customWidth="1"/>
    <col min="9" max="9" width="19" customWidth="1"/>
  </cols>
  <sheetData>
    <row r="1" spans="1:6" ht="17" x14ac:dyDescent="0.2">
      <c r="A1" s="1" t="s">
        <v>0</v>
      </c>
      <c r="B1" s="2"/>
      <c r="C1" s="2"/>
      <c r="D1" s="2"/>
      <c r="E1" s="2"/>
    </row>
    <row r="2" spans="1:6" ht="48" x14ac:dyDescent="0.2">
      <c r="A2" s="3" t="s">
        <v>1</v>
      </c>
      <c r="B2" s="3" t="s">
        <v>2</v>
      </c>
      <c r="C2" s="3" t="s">
        <v>3</v>
      </c>
      <c r="D2" s="3" t="s">
        <v>4</v>
      </c>
      <c r="E2" s="4" t="s">
        <v>5</v>
      </c>
      <c r="F2" s="4" t="s">
        <v>6</v>
      </c>
    </row>
    <row r="3" spans="1:6" x14ac:dyDescent="0.2">
      <c r="A3" s="5" t="s">
        <v>7</v>
      </c>
      <c r="B3" s="6">
        <v>30.547945205478999</v>
      </c>
      <c r="C3" s="6">
        <v>58.245614035088003</v>
      </c>
      <c r="D3" s="6">
        <v>50.138504155124998</v>
      </c>
      <c r="E3" s="7">
        <v>41.424418604651002</v>
      </c>
      <c r="F3" s="7">
        <v>17.878459034182999</v>
      </c>
    </row>
    <row r="4" spans="1:6" x14ac:dyDescent="0.2">
      <c r="A4" s="5" t="s">
        <v>8</v>
      </c>
      <c r="B4" s="6">
        <v>0.13698630136986001</v>
      </c>
      <c r="C4" s="6">
        <v>2.4561403508772002</v>
      </c>
      <c r="D4" s="6">
        <v>6.3711911357341</v>
      </c>
      <c r="E4" s="7">
        <v>2.2529069767442</v>
      </c>
      <c r="F4" s="7">
        <v>6.9994574064026001</v>
      </c>
    </row>
    <row r="5" spans="1:6" x14ac:dyDescent="0.2">
      <c r="A5" s="5" t="s">
        <v>9</v>
      </c>
      <c r="B5" s="6">
        <v>27.534246575341999</v>
      </c>
      <c r="C5" s="6">
        <v>0</v>
      </c>
      <c r="D5" s="6">
        <v>20.498614958449</v>
      </c>
      <c r="E5" s="7">
        <v>19.985465116278998</v>
      </c>
      <c r="F5" s="7">
        <v>25.311991318501999</v>
      </c>
    </row>
    <row r="6" spans="1:6" x14ac:dyDescent="0.2">
      <c r="A6" s="5" t="s">
        <v>10</v>
      </c>
      <c r="B6" s="6">
        <v>21.506849315067999</v>
      </c>
      <c r="C6" s="6">
        <v>39.298245614034997</v>
      </c>
      <c r="D6" s="6">
        <v>0</v>
      </c>
      <c r="E6" s="7">
        <v>19.549418604650999</v>
      </c>
      <c r="F6" s="7">
        <v>22.816060770482999</v>
      </c>
    </row>
    <row r="7" spans="1:6" x14ac:dyDescent="0.2">
      <c r="A7" s="5" t="s">
        <v>11</v>
      </c>
      <c r="B7" s="6">
        <v>20.273972602739999</v>
      </c>
      <c r="C7" s="6">
        <v>0</v>
      </c>
      <c r="D7" s="6">
        <v>22.991689750692998</v>
      </c>
      <c r="E7" s="7">
        <v>16.787790697674001</v>
      </c>
      <c r="F7" s="7">
        <v>26.994031470429</v>
      </c>
    </row>
    <row r="16" spans="1:6" ht="17" x14ac:dyDescent="0.2">
      <c r="A16" s="1" t="s">
        <v>0</v>
      </c>
      <c r="B16" s="2"/>
    </row>
    <row r="17" spans="1:3" ht="48" x14ac:dyDescent="0.2">
      <c r="A17" s="3" t="s">
        <v>1</v>
      </c>
      <c r="B17" s="4" t="s">
        <v>5</v>
      </c>
      <c r="C17" s="4" t="s">
        <v>6</v>
      </c>
    </row>
    <row r="18" spans="1:3" x14ac:dyDescent="0.2">
      <c r="A18" s="5" t="s">
        <v>7</v>
      </c>
      <c r="B18" s="8">
        <v>41.424418604651002</v>
      </c>
      <c r="C18" s="8">
        <v>17.878459034182999</v>
      </c>
    </row>
    <row r="19" spans="1:3" x14ac:dyDescent="0.2">
      <c r="A19" s="5" t="s">
        <v>8</v>
      </c>
      <c r="B19" s="8">
        <v>2.2529069767442</v>
      </c>
      <c r="C19" s="8">
        <v>6.9994574064026001</v>
      </c>
    </row>
    <row r="20" spans="1:3" x14ac:dyDescent="0.2">
      <c r="A20" s="5" t="s">
        <v>9</v>
      </c>
      <c r="B20" s="8">
        <v>19.985465116278998</v>
      </c>
      <c r="C20" s="8">
        <v>25.311991318501999</v>
      </c>
    </row>
    <row r="21" spans="1:3" x14ac:dyDescent="0.2">
      <c r="A21" s="5" t="s">
        <v>10</v>
      </c>
      <c r="B21" s="8">
        <v>19.549418604650999</v>
      </c>
      <c r="C21" s="8">
        <v>22.816060770482999</v>
      </c>
    </row>
    <row r="22" spans="1:3" x14ac:dyDescent="0.2">
      <c r="A22" s="5" t="s">
        <v>11</v>
      </c>
      <c r="B22" s="8">
        <v>16.787790697674001</v>
      </c>
      <c r="C22" s="8">
        <v>26.994031470429</v>
      </c>
    </row>
    <row r="27" spans="1:3" ht="17" x14ac:dyDescent="0.2">
      <c r="A27" s="1" t="s">
        <v>0</v>
      </c>
    </row>
    <row r="28" spans="1:3" ht="48" x14ac:dyDescent="0.2">
      <c r="A28" s="3" t="s">
        <v>1</v>
      </c>
      <c r="B28" s="4" t="s">
        <v>6</v>
      </c>
      <c r="C28" s="4"/>
    </row>
    <row r="29" spans="1:3" x14ac:dyDescent="0.2">
      <c r="A29" s="5" t="s">
        <v>7</v>
      </c>
      <c r="B29" s="8">
        <v>17.878459034182999</v>
      </c>
      <c r="C29" s="8"/>
    </row>
    <row r="30" spans="1:3" x14ac:dyDescent="0.2">
      <c r="A30" s="5" t="s">
        <v>8</v>
      </c>
      <c r="B30" s="8">
        <v>6.9994574064026001</v>
      </c>
      <c r="C30" s="8"/>
    </row>
    <row r="31" spans="1:3" x14ac:dyDescent="0.2">
      <c r="A31" s="5" t="s">
        <v>9</v>
      </c>
      <c r="B31" s="8">
        <v>25.311991318501999</v>
      </c>
      <c r="C31" s="8"/>
    </row>
    <row r="32" spans="1:3" x14ac:dyDescent="0.2">
      <c r="A32" s="5" t="s">
        <v>10</v>
      </c>
      <c r="B32" s="8">
        <v>22.816060770482999</v>
      </c>
      <c r="C32" s="8"/>
    </row>
    <row r="33" spans="1:3" x14ac:dyDescent="0.2">
      <c r="A33" s="5" t="s">
        <v>11</v>
      </c>
      <c r="B33" s="8">
        <v>26.994031470429</v>
      </c>
      <c r="C33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46192-270B-A54F-9EB2-6CA130438C99}">
  <dimension ref="A3:G10"/>
  <sheetViews>
    <sheetView workbookViewId="0">
      <selection activeCell="I25" sqref="I25"/>
    </sheetView>
  </sheetViews>
  <sheetFormatPr baseColWidth="10" defaultRowHeight="16" x14ac:dyDescent="0.2"/>
  <cols>
    <col min="1" max="1" width="44.5" customWidth="1"/>
    <col min="2" max="2" width="19.1640625" customWidth="1"/>
    <col min="3" max="3" width="25.33203125" customWidth="1"/>
    <col min="4" max="4" width="28.33203125" customWidth="1"/>
    <col min="5" max="5" width="24" customWidth="1"/>
    <col min="6" max="6" width="22.5" customWidth="1"/>
    <col min="7" max="7" width="35.1640625" customWidth="1"/>
  </cols>
  <sheetData>
    <row r="3" spans="1:7" x14ac:dyDescent="0.2">
      <c r="A3" t="s">
        <v>12</v>
      </c>
    </row>
    <row r="4" spans="1:7" x14ac:dyDescent="0.2">
      <c r="A4" s="9">
        <v>0.36770000000000003</v>
      </c>
      <c r="C4" s="11" t="s">
        <v>13</v>
      </c>
      <c r="D4" t="s">
        <v>14</v>
      </c>
      <c r="F4" s="11" t="s">
        <v>13</v>
      </c>
      <c r="G4" t="s">
        <v>15</v>
      </c>
    </row>
    <row r="5" spans="1:7" x14ac:dyDescent="0.2">
      <c r="A5" s="9">
        <v>6.2799999999999995E-2</v>
      </c>
      <c r="C5" s="10" t="s">
        <v>11</v>
      </c>
      <c r="D5" s="9">
        <v>0.1202</v>
      </c>
      <c r="F5" s="10" t="s">
        <v>11</v>
      </c>
      <c r="G5" s="9">
        <v>0.13450000000000001</v>
      </c>
    </row>
    <row r="6" spans="1:7" x14ac:dyDescent="0.2">
      <c r="A6" s="9">
        <v>0.27729999999999999</v>
      </c>
      <c r="C6" s="10" t="s">
        <v>10</v>
      </c>
      <c r="D6" s="9">
        <v>0.20580000000000001</v>
      </c>
      <c r="F6" s="10" t="s">
        <v>10</v>
      </c>
      <c r="G6" s="9">
        <v>0.2853</v>
      </c>
    </row>
    <row r="7" spans="1:7" x14ac:dyDescent="0.2">
      <c r="A7" s="9">
        <v>9.1200000000000003E-2</v>
      </c>
      <c r="C7" s="10" t="s">
        <v>7</v>
      </c>
      <c r="D7" s="9">
        <v>0.25090000000000001</v>
      </c>
      <c r="F7" s="10" t="s">
        <v>7</v>
      </c>
      <c r="G7" s="9">
        <v>0.21010000000000001</v>
      </c>
    </row>
    <row r="8" spans="1:7" x14ac:dyDescent="0.2">
      <c r="A8" s="9">
        <v>0.2011</v>
      </c>
      <c r="C8" s="10" t="s">
        <v>8</v>
      </c>
      <c r="D8" s="9">
        <v>0.22389999999999999</v>
      </c>
      <c r="F8" s="10" t="s">
        <v>8</v>
      </c>
      <c r="G8" s="9">
        <v>0.1406</v>
      </c>
    </row>
    <row r="9" spans="1:7" x14ac:dyDescent="0.2">
      <c r="A9" s="9">
        <v>1.0001</v>
      </c>
      <c r="C9" s="10" t="s">
        <v>9</v>
      </c>
      <c r="D9" s="9">
        <v>0.19919999999999999</v>
      </c>
      <c r="F9" s="10" t="s">
        <v>9</v>
      </c>
      <c r="G9" s="9">
        <v>0.22950000000000001</v>
      </c>
    </row>
    <row r="10" spans="1:7" x14ac:dyDescent="0.2">
      <c r="C10" s="10" t="s">
        <v>16</v>
      </c>
      <c r="D10" s="9">
        <v>1</v>
      </c>
      <c r="F10" s="10" t="s">
        <v>16</v>
      </c>
      <c r="G10" s="9">
        <v>1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022B-1A3D-8149-87AF-0CB032376CDB}">
  <dimension ref="A1:G7"/>
  <sheetViews>
    <sheetView workbookViewId="0">
      <selection activeCell="C18" sqref="C18"/>
    </sheetView>
  </sheetViews>
  <sheetFormatPr baseColWidth="10" defaultRowHeight="16" x14ac:dyDescent="0.2"/>
  <cols>
    <col min="1" max="1" width="22.33203125" customWidth="1"/>
    <col min="2" max="2" width="17.83203125" customWidth="1"/>
    <col min="3" max="3" width="21.33203125" customWidth="1"/>
    <col min="4" max="4" width="20.1640625" customWidth="1"/>
    <col min="5" max="5" width="19.83203125" customWidth="1"/>
    <col min="6" max="6" width="18.33203125" customWidth="1"/>
    <col min="7" max="7" width="24.33203125" customWidth="1"/>
  </cols>
  <sheetData>
    <row r="1" spans="1:7" x14ac:dyDescent="0.2">
      <c r="A1" s="12" t="s">
        <v>1</v>
      </c>
      <c r="B1" s="12" t="s">
        <v>17</v>
      </c>
      <c r="C1" s="12" t="s">
        <v>18</v>
      </c>
      <c r="D1" s="12" t="s">
        <v>19</v>
      </c>
      <c r="E1" s="12" t="s">
        <v>20</v>
      </c>
      <c r="F1" s="12" t="s">
        <v>21</v>
      </c>
      <c r="G1" s="12" t="s">
        <v>22</v>
      </c>
    </row>
    <row r="2" spans="1:7" x14ac:dyDescent="0.2">
      <c r="A2" s="12" t="s">
        <v>7</v>
      </c>
      <c r="B2" s="13">
        <v>2677</v>
      </c>
      <c r="C2" s="14">
        <v>0.27729999999999999</v>
      </c>
      <c r="D2" s="13">
        <v>5608</v>
      </c>
      <c r="E2" s="14">
        <v>0.25090000000000001</v>
      </c>
      <c r="F2" s="13">
        <v>8443</v>
      </c>
      <c r="G2" s="14">
        <v>0.21010000000000001</v>
      </c>
    </row>
    <row r="3" spans="1:7" x14ac:dyDescent="0.2">
      <c r="A3" s="12" t="s">
        <v>8</v>
      </c>
      <c r="B3" s="12">
        <v>880</v>
      </c>
      <c r="C3" s="14">
        <v>9.1200000000000003E-2</v>
      </c>
      <c r="D3" s="13">
        <v>5004</v>
      </c>
      <c r="E3" s="14">
        <v>0.22389999999999999</v>
      </c>
      <c r="F3" s="13">
        <v>5648</v>
      </c>
      <c r="G3" s="14">
        <v>0.1406</v>
      </c>
    </row>
    <row r="4" spans="1:7" x14ac:dyDescent="0.2">
      <c r="A4" s="12" t="s">
        <v>9</v>
      </c>
      <c r="B4" s="13">
        <v>1941</v>
      </c>
      <c r="C4" s="14">
        <v>0.2011</v>
      </c>
      <c r="D4" s="13">
        <v>4453</v>
      </c>
      <c r="E4" s="14">
        <v>0.19919999999999999</v>
      </c>
      <c r="F4" s="13">
        <v>9221</v>
      </c>
      <c r="G4" s="14">
        <v>0.22950000000000001</v>
      </c>
    </row>
    <row r="5" spans="1:7" x14ac:dyDescent="0.2">
      <c r="A5" s="12" t="s">
        <v>10</v>
      </c>
      <c r="B5" s="12">
        <v>606</v>
      </c>
      <c r="C5" s="14">
        <v>6.2799999999999995E-2</v>
      </c>
      <c r="D5" s="13">
        <v>4600</v>
      </c>
      <c r="E5" s="14">
        <v>0.20580000000000001</v>
      </c>
      <c r="F5" s="13">
        <v>11465</v>
      </c>
      <c r="G5" s="14">
        <v>0.2853</v>
      </c>
    </row>
    <row r="6" spans="1:7" x14ac:dyDescent="0.2">
      <c r="A6" s="12" t="s">
        <v>11</v>
      </c>
      <c r="B6" s="13">
        <v>3549</v>
      </c>
      <c r="C6" s="14">
        <v>0.36770000000000003</v>
      </c>
      <c r="D6" s="13">
        <v>2687</v>
      </c>
      <c r="E6" s="14">
        <v>0.1202</v>
      </c>
      <c r="F6" s="13">
        <v>5404</v>
      </c>
      <c r="G6" s="14">
        <v>0.13450000000000001</v>
      </c>
    </row>
    <row r="7" spans="1:7" x14ac:dyDescent="0.2">
      <c r="A7" s="12" t="s">
        <v>23</v>
      </c>
      <c r="B7" s="13">
        <v>9653</v>
      </c>
      <c r="C7" s="14">
        <v>1</v>
      </c>
      <c r="D7" s="13">
        <v>22352</v>
      </c>
      <c r="E7" s="14">
        <v>1</v>
      </c>
      <c r="F7" s="13">
        <v>40181</v>
      </c>
      <c r="G7" s="1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Q2 &amp; Q3</vt:lpstr>
      <vt:lpstr>Charts Q4 to Q6</vt:lpstr>
      <vt:lpstr>Q4, Q5, Q6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Lashawn Fofung</dc:creator>
  <cp:lastModifiedBy>Lashawn Fofung</cp:lastModifiedBy>
  <dcterms:created xsi:type="dcterms:W3CDTF">2025-06-30T10:34:39Z</dcterms:created>
  <dcterms:modified xsi:type="dcterms:W3CDTF">2025-06-30T10:39:57Z</dcterms:modified>
</cp:coreProperties>
</file>