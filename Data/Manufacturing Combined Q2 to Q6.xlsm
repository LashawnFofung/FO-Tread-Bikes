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lashawnfofung/Documents/IT Resume &amp; Transcript/Portfolio/Projects/MBA Capstone/Excel Data for Github/"/>
    </mc:Choice>
  </mc:AlternateContent>
  <xr:revisionPtr revIDLastSave="0" documentId="8_{6A1FC831-4C28-AC4E-8AC4-DCD22AFA564A}" xr6:coauthVersionLast="47" xr6:coauthVersionMax="47" xr10:uidLastSave="{00000000-0000-0000-0000-000000000000}"/>
  <bookViews>
    <workbookView xWindow="33080" yWindow="1940" windowWidth="17040" windowHeight="13900" activeTab="1" xr2:uid="{1E3E2ECA-31DB-3D43-BB06-FBF6DCF1989F}"/>
  </bookViews>
  <sheets>
    <sheet name="Sheet1" sheetId="1" r:id="rId1"/>
    <sheet name="Inventory Position" sheetId="2" r:id="rId2"/>
    <sheet name="Operating Capacity Utilization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<sst xmlns="http://schemas.openxmlformats.org/spreadsheetml/2006/main" count="38" uniqueCount="31">
  <si>
    <t>Units
Produced</t>
  </si>
  <si>
    <t>Net
Demand</t>
  </si>
  <si>
    <t>Units
Sold</t>
  </si>
  <si>
    <t>Lost Sales Due
to Stock-Outs</t>
  </si>
  <si>
    <t>Quarter</t>
  </si>
  <si>
    <t>Inventory Position - Total Number of Units</t>
  </si>
  <si>
    <t>Q2</t>
  </si>
  <si>
    <t>Operating Capacity Utilization</t>
  </si>
  <si>
    <t>Overtime</t>
  </si>
  <si>
    <t>Overtime hours used</t>
  </si>
  <si>
    <t>Overtime capacity</t>
  </si>
  <si>
    <t>Production worker productivity without overtime</t>
  </si>
  <si>
    <t>Production worker productivity with overtime</t>
  </si>
  <si>
    <t>Increase in average direct labor cost per unit due to overtime</t>
  </si>
  <si>
    <t>Operating Capacity</t>
  </si>
  <si>
    <t>Value</t>
  </si>
  <si>
    <t>Planned operating capacity</t>
  </si>
  <si>
    <t>Planned operating capacity including overtime</t>
  </si>
  <si>
    <t>Production productivity</t>
  </si>
  <si>
    <t>Effective operating capacity</t>
  </si>
  <si>
    <t>Effective operating capacity utilized</t>
  </si>
  <si>
    <t>Effective operating capacity utilization</t>
  </si>
  <si>
    <t>Excess Capacity</t>
  </si>
  <si>
    <t>Unused operating capacity</t>
  </si>
  <si>
    <t>Excess operating capacity</t>
  </si>
  <si>
    <t>Overhead costs and labor charged to excess operating capacity</t>
  </si>
  <si>
    <t>Q3</t>
  </si>
  <si>
    <t>N/A</t>
  </si>
  <si>
    <t>Q4</t>
  </si>
  <si>
    <t>Q5</t>
  </si>
  <si>
    <t>Q6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</si>
</sst>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5" x14ac:knownFonts="1">
    <font>
      <sz val="12"/>
      <color theme="1"/>
      <name val="Aptos Narrow"/>
      <family val="2"/>
      <scheme val="minor"/>
    </font>
    <font>
      <b/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Units Produced vs Net Demand Q2 -Q6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'Inventory Position'!$B$2</c:f>
              <c:strCache>
                <c:ptCount val="1"/>
                <c:pt idx="0">
                  <c:v>Units
Produced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'Inventory Position'!$A$3:$A$7</c:f>
              <c:strCache>
                <c:ptCount val="5"/>
                <c:pt idx="0">
                  <c:v>Q2</c:v>
                </c:pt>
                <c:pt idx="1">
                  <c:v>Q3</c:v>
                </c:pt>
                <c:pt idx="2">
                  <c:v>Q4</c:v>
                </c:pt>
                <c:pt idx="3">
                  <c:v>Q5</c:v>
                </c:pt>
                <c:pt idx="4">
                  <c:v>Q6</c:v>
                </c:pt>
              </c:strCache>
            </c:strRef>
          </c:cat>
          <c:val>
            <c:numRef>
              <c:f>'Inventory Position'!$B$3:$B$7</c:f>
              <c:numCache>
                <c:formatCode>#,##0</c:formatCode>
                <c:ptCount val="5"/>
                <c:pt idx="0">
                  <c:v>387</c:v>
                </c:pt>
                <c:pt idx="1">
                  <c:v>659</c:v>
                </c:pt>
                <c:pt idx="2">
                  <c:v>2637</c:v>
                </c:pt>
                <c:pt idx="3">
                  <c:v>3371</c:v>
                </c:pt>
                <c:pt idx="4">
                  <c:v>3561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7-2E4F-AE49-E2DFE8A3479D}"/>
            </c:ext>
          </c:extLst>
        </c:ser>
        <c:ser>
          <c:idx val="1"/>
          <c:order val="1"/>
          <c:tx>
            <c:strRef>
              <c:f>'Inventory Position'!$C$2</c:f>
              <c:strCache>
                <c:ptCount val="1"/>
                <c:pt idx="0">
                  <c:v>Net
Demand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'Inventory Position'!$A$3:$A$7</c:f>
              <c:strCache>
                <c:ptCount val="5"/>
                <c:pt idx="0">
                  <c:v>Q2</c:v>
                </c:pt>
                <c:pt idx="1">
                  <c:v>Q3</c:v>
                </c:pt>
                <c:pt idx="2">
                  <c:v>Q4</c:v>
                </c:pt>
                <c:pt idx="3">
                  <c:v>Q5</c:v>
                </c:pt>
                <c:pt idx="4">
                  <c:v>Q6</c:v>
                </c:pt>
              </c:strCache>
            </c:strRef>
          </c:cat>
          <c:val>
            <c:numRef>
              <c:f>'Inventory Position'!$C$3:$C$7</c:f>
              <c:numCache>
                <c:formatCode>#,##0</c:formatCode>
                <c:ptCount val="5"/>
                <c:pt idx="0">
                  <c:v>570</c:v>
                </c:pt>
                <c:pt idx="1">
                  <c:v>659</c:v>
                </c:pt>
                <c:pt idx="2">
                  <c:v>2677</c:v>
                </c:pt>
                <c:pt idx="3">
                  <c:v>5608</c:v>
                </c:pt>
                <c:pt idx="4">
                  <c:v>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7-2E4F-AE49-E2DFE8A34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3429056"/>
        <c:axId val="682995648"/>
      </c:barChart>
      <c:catAx>
        <c:axId val="72342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Quarter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95648"/>
        <c:crosses val="autoZero"/>
        <c:auto val="1"/>
        <c:lblAlgn val="ctr"/>
        <c:lblOffset val="100"/>
        <c:noMultiLvlLbl val="0"/>
      </c:catAx>
      <c:valAx>
        <c:axId val="6829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2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1</xdr:row>
      <xdr:rowOff>114300</xdr:rowOff>
    </xdr:from>
    <xdr:to>
      <xdr:col>14</xdr:col>
      <xdr:colOff>368300</xdr:colOff>
      <xdr:row>23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592DD-CEF7-48E0-DDF8-BA3C24C3A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6A34-B36E-A441-AE4B-022DCAB653A5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AF19-A2D4-0B45-A61E-39B8D602E089}">
  <dimension ref="A1:E7"/>
  <sheetViews>
    <sheetView tabSelected="1" workbookViewId="0">
      <selection activeCell="B13" sqref="B13"/>
    </sheetView>
  </sheetViews>
  <sheetFormatPr baseColWidth="10" defaultRowHeight="16" x14ac:dyDescent="0.2"/>
  <cols>
    <col min="1" max="1" width="40.5" customWidth="1"/>
    <col min="2" max="4" width="10.83203125" style="9"/>
    <col min="5" max="5" width="17.83203125" style="9" customWidth="1"/>
  </cols>
  <sheetData>
    <row r="1" spans="1:5" ht="17" x14ac:dyDescent="0.2">
      <c r="A1" s="1" t="s">
        <v>5</v>
      </c>
      <c r="B1" s="7"/>
      <c r="C1" s="7"/>
      <c r="D1" s="7"/>
      <c r="E1" s="7"/>
    </row>
    <row r="2" spans="1:5" ht="32" x14ac:dyDescent="0.2">
      <c r="A2" s="2" t="s">
        <v>4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">
      <c r="A3" s="8" t="s">
        <v>6</v>
      </c>
      <c r="B3" s="12">
        <v>387</v>
      </c>
      <c r="C3" s="12">
        <v>570</v>
      </c>
      <c r="D3" s="12">
        <v>387</v>
      </c>
      <c r="E3" s="12">
        <v>183</v>
      </c>
    </row>
    <row r="4" spans="1:5" x14ac:dyDescent="0.2">
      <c r="A4" t="s">
        <v>26</v>
      </c>
      <c r="B4" s="12">
        <v>659</v>
      </c>
      <c r="C4" s="12">
        <v>659</v>
      </c>
      <c r="D4" s="12">
        <v>659</v>
      </c>
      <c r="E4" s="12">
        <v>0</v>
      </c>
    </row>
    <row r="5" spans="1:5" x14ac:dyDescent="0.2">
      <c r="A5" t="s">
        <v>28</v>
      </c>
      <c r="B5" s="12">
        <v>2637</v>
      </c>
      <c r="C5" s="12">
        <v>2677</v>
      </c>
      <c r="D5" s="12">
        <v>2637</v>
      </c>
      <c r="E5" s="12">
        <v>40</v>
      </c>
    </row>
    <row r="6" spans="1:5" x14ac:dyDescent="0.2">
      <c r="A6" t="s">
        <v>29</v>
      </c>
      <c r="B6" s="12">
        <v>3371</v>
      </c>
      <c r="C6" s="12">
        <v>5608</v>
      </c>
      <c r="D6" s="12">
        <v>3371</v>
      </c>
      <c r="E6" s="12">
        <v>2237</v>
      </c>
    </row>
    <row r="7" spans="1:5" x14ac:dyDescent="0.2">
      <c r="A7" t="s">
        <v>30</v>
      </c>
      <c r="B7" s="12">
        <v>3561</v>
      </c>
      <c r="C7" s="12">
        <v>8443</v>
      </c>
      <c r="D7" s="12">
        <v>3561</v>
      </c>
      <c r="E7" s="12">
        <v>4882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21661-2F8B-5340-9EDF-87E470D9C515}">
  <dimension ref="A1:F18"/>
  <sheetViews>
    <sheetView workbookViewId="0">
      <selection activeCell="A23" sqref="A23"/>
    </sheetView>
  </sheetViews>
  <sheetFormatPr baseColWidth="10" defaultRowHeight="16" x14ac:dyDescent="0.2"/>
  <cols>
    <col min="1" max="1" width="69.33203125" customWidth="1"/>
    <col min="2" max="2" width="23.5" customWidth="1"/>
  </cols>
  <sheetData>
    <row r="1" spans="1:6" ht="17" x14ac:dyDescent="0.2">
      <c r="A1" s="1" t="s">
        <v>7</v>
      </c>
      <c r="B1" s="7" t="s">
        <v>6</v>
      </c>
      <c r="C1" s="9" t="s">
        <v>26</v>
      </c>
      <c r="D1" s="9" t="s">
        <v>28</v>
      </c>
      <c r="E1" s="9" t="s">
        <v>29</v>
      </c>
      <c r="F1" s="9" t="s">
        <v>30</v>
      </c>
    </row>
    <row r="2" spans="1:6" x14ac:dyDescent="0.2">
      <c r="A2" s="6" t="s">
        <v>8</v>
      </c>
      <c r="B2" s="2"/>
      <c r="C2" s="9"/>
      <c r="D2" s="9"/>
      <c r="E2" s="9"/>
      <c r="F2" s="9"/>
    </row>
    <row r="3" spans="1:6" x14ac:dyDescent="0.2">
      <c r="A3" s="4" t="s">
        <v>9</v>
      </c>
      <c r="B3" s="10">
        <v>1</v>
      </c>
      <c r="C3" s="10">
        <v>0</v>
      </c>
      <c r="D3" s="10">
        <v>1</v>
      </c>
      <c r="E3" s="10">
        <v>1</v>
      </c>
      <c r="F3" s="10">
        <v>1</v>
      </c>
    </row>
    <row r="4" spans="1:6" x14ac:dyDescent="0.2">
      <c r="A4" s="4" t="s">
        <v>10</v>
      </c>
      <c r="B4" s="7">
        <v>73</v>
      </c>
      <c r="C4" s="7">
        <v>0</v>
      </c>
      <c r="D4" s="7">
        <v>382</v>
      </c>
      <c r="E4" s="7">
        <v>447</v>
      </c>
      <c r="F4" s="7">
        <v>447</v>
      </c>
    </row>
    <row r="5" spans="1:6" x14ac:dyDescent="0.2">
      <c r="A5" s="4" t="s">
        <v>11</v>
      </c>
      <c r="B5" s="11">
        <v>59.379730000000002</v>
      </c>
      <c r="C5" s="11">
        <v>69.972520000000003</v>
      </c>
      <c r="D5" s="11">
        <v>77.494439999999997</v>
      </c>
      <c r="E5" s="11">
        <v>84.651960000000003</v>
      </c>
      <c r="F5" s="11">
        <v>89.428539999999998</v>
      </c>
    </row>
    <row r="6" spans="1:6" x14ac:dyDescent="0.2">
      <c r="A6" s="4" t="s">
        <v>12</v>
      </c>
      <c r="B6" s="11">
        <v>58.78593</v>
      </c>
      <c r="C6" s="7" t="s">
        <v>27</v>
      </c>
      <c r="D6" s="11">
        <v>76.719489999999993</v>
      </c>
      <c r="E6" s="11">
        <v>83.805440000000004</v>
      </c>
      <c r="F6" s="11">
        <v>88.534260000000003</v>
      </c>
    </row>
    <row r="7" spans="1:6" x14ac:dyDescent="0.2">
      <c r="A7" s="4" t="s">
        <v>13</v>
      </c>
      <c r="B7" s="10">
        <v>10.051557164868001</v>
      </c>
      <c r="C7" s="10">
        <v>0</v>
      </c>
      <c r="D7" s="10">
        <v>7.6116480937063002</v>
      </c>
      <c r="E7" s="10">
        <v>7.6172540732421998</v>
      </c>
      <c r="F7" s="10">
        <v>7.4854534290309003</v>
      </c>
    </row>
    <row r="8" spans="1:6" x14ac:dyDescent="0.2">
      <c r="A8" s="5" t="s">
        <v>14</v>
      </c>
      <c r="B8" s="2"/>
      <c r="C8" s="2"/>
      <c r="D8" s="2" t="s">
        <v>15</v>
      </c>
      <c r="E8" s="2" t="s">
        <v>15</v>
      </c>
      <c r="F8" s="2" t="s">
        <v>15</v>
      </c>
    </row>
    <row r="9" spans="1:6" x14ac:dyDescent="0.2">
      <c r="A9" s="4" t="s">
        <v>16</v>
      </c>
      <c r="B9" s="7">
        <v>585</v>
      </c>
      <c r="C9" s="7">
        <v>1300</v>
      </c>
      <c r="D9" s="7">
        <v>3055</v>
      </c>
      <c r="E9" s="7">
        <v>3575</v>
      </c>
      <c r="F9" s="7">
        <v>3575</v>
      </c>
    </row>
    <row r="10" spans="1:6" x14ac:dyDescent="0.2">
      <c r="A10" s="4" t="s">
        <v>17</v>
      </c>
      <c r="B10" s="7">
        <v>658</v>
      </c>
      <c r="C10" s="7">
        <v>1300</v>
      </c>
      <c r="D10" s="7">
        <v>3437</v>
      </c>
      <c r="E10" s="7">
        <v>4022</v>
      </c>
      <c r="F10" s="7">
        <v>4022</v>
      </c>
    </row>
    <row r="11" spans="1:6" x14ac:dyDescent="0.2">
      <c r="A11" s="4" t="s">
        <v>18</v>
      </c>
      <c r="B11" s="11">
        <v>58.78593</v>
      </c>
      <c r="C11" s="11">
        <v>69.972520000000003</v>
      </c>
      <c r="D11" s="11">
        <v>76.719489999999993</v>
      </c>
      <c r="E11" s="11">
        <v>83.805440000000004</v>
      </c>
      <c r="F11" s="11">
        <v>88.534260000000003</v>
      </c>
    </row>
    <row r="12" spans="1:6" x14ac:dyDescent="0.2">
      <c r="A12" s="4" t="s">
        <v>19</v>
      </c>
      <c r="B12" s="7">
        <v>387</v>
      </c>
      <c r="C12" s="7">
        <v>910</v>
      </c>
      <c r="D12" s="7">
        <v>2637</v>
      </c>
      <c r="E12" s="7">
        <v>3371</v>
      </c>
      <c r="F12" s="7">
        <v>3561</v>
      </c>
    </row>
    <row r="13" spans="1:6" x14ac:dyDescent="0.2">
      <c r="A13" s="4" t="s">
        <v>20</v>
      </c>
      <c r="B13" s="7">
        <v>387</v>
      </c>
      <c r="C13" s="7">
        <v>659</v>
      </c>
      <c r="D13" s="7">
        <v>2637</v>
      </c>
      <c r="E13" s="7">
        <v>3371</v>
      </c>
      <c r="F13" s="7">
        <v>3561</v>
      </c>
    </row>
    <row r="14" spans="1:6" x14ac:dyDescent="0.2">
      <c r="A14" s="4" t="s">
        <v>21</v>
      </c>
      <c r="B14" s="7">
        <v>100</v>
      </c>
      <c r="C14" s="7">
        <v>72</v>
      </c>
      <c r="D14" s="7">
        <v>100</v>
      </c>
      <c r="E14" s="7">
        <v>100</v>
      </c>
      <c r="F14" s="7">
        <v>100</v>
      </c>
    </row>
    <row r="15" spans="1:6" x14ac:dyDescent="0.2">
      <c r="A15" s="6" t="s">
        <v>22</v>
      </c>
      <c r="B15" s="7"/>
      <c r="C15" s="9"/>
      <c r="D15" s="9"/>
      <c r="E15" s="9"/>
      <c r="F15" s="9"/>
    </row>
    <row r="16" spans="1:6" x14ac:dyDescent="0.2">
      <c r="A16" s="4" t="s">
        <v>23</v>
      </c>
      <c r="B16" s="7">
        <v>0</v>
      </c>
      <c r="C16" s="7">
        <v>251</v>
      </c>
      <c r="D16" s="7">
        <v>0</v>
      </c>
      <c r="E16" s="7">
        <v>0</v>
      </c>
      <c r="F16" s="7">
        <v>0</v>
      </c>
    </row>
    <row r="17" spans="1:6" x14ac:dyDescent="0.2">
      <c r="A17" s="4" t="s">
        <v>24</v>
      </c>
      <c r="B17" s="7">
        <v>0</v>
      </c>
      <c r="C17" s="7">
        <v>28</v>
      </c>
      <c r="D17" s="7">
        <v>0</v>
      </c>
      <c r="E17" s="7">
        <v>0</v>
      </c>
      <c r="F17" s="7">
        <v>0</v>
      </c>
    </row>
    <row r="18" spans="1:6" x14ac:dyDescent="0.2">
      <c r="A18" s="4" t="s">
        <v>25</v>
      </c>
      <c r="B18" s="7">
        <v>0</v>
      </c>
      <c r="C18" s="7">
        <v>30068.924680257001</v>
      </c>
      <c r="D18" s="7">
        <v>0</v>
      </c>
      <c r="E18" s="7">
        <v>0</v>
      </c>
      <c r="F18" s="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Inventory Position</vt:lpstr>
      <vt:lpstr>Operating Capacity Utilization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Lashawn Fofung</dc:creator>
  <cp:lastModifiedBy>Lashawn Fofung</cp:lastModifiedBy>
  <dcterms:created xsi:type="dcterms:W3CDTF">2025-06-30T07:20:34Z</dcterms:created>
  <dcterms:modified xsi:type="dcterms:W3CDTF">2025-06-30T10:06:40Z</dcterms:modified>
</cp:coreProperties>
</file>